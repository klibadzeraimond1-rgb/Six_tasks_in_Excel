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mond\Downloads\"/>
    </mc:Choice>
  </mc:AlternateContent>
  <xr:revisionPtr revIDLastSave="0" documentId="13_ncr:1_{A4359209-224C-494C-A6D1-105954F9C8E5}" xr6:coauthVersionLast="47" xr6:coauthVersionMax="47" xr10:uidLastSave="{00000000-0000-0000-0000-000000000000}"/>
  <bookViews>
    <workbookView xWindow="-120" yWindow="-120" windowWidth="29040" windowHeight="15720" activeTab="5" xr2:uid="{CEDDFC55-9569-4C62-98AC-FDF5CCA83207}"/>
  </bookViews>
  <sheets>
    <sheet name="ამოცანა 1" sheetId="1" r:id="rId1"/>
    <sheet name="ამოცანა 2" sheetId="2" r:id="rId2"/>
    <sheet name="ამოცანა 3" sheetId="3" r:id="rId3"/>
    <sheet name="ამოცანა 4" sheetId="4" r:id="rId4"/>
    <sheet name="ამოცანა 5" sheetId="6" r:id="rId5"/>
    <sheet name="ამოცანა 6  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7" l="1"/>
  <c r="G3" i="4" l="1"/>
  <c r="B3" i="3"/>
  <c r="E3" i="3" s="1"/>
  <c r="B4" i="3"/>
  <c r="E4" i="3" s="1"/>
  <c r="B5" i="3"/>
  <c r="E5" i="3" s="1"/>
  <c r="B6" i="3"/>
  <c r="E6" i="3" s="1"/>
  <c r="B7" i="3"/>
  <c r="E7" i="3" s="1"/>
  <c r="B8" i="3"/>
  <c r="E8" i="3" s="1"/>
  <c r="B9" i="3"/>
  <c r="E9" i="3" s="1"/>
  <c r="B10" i="3"/>
  <c r="E10" i="3" s="1"/>
  <c r="B11" i="3"/>
  <c r="E11" i="3" s="1"/>
  <c r="B12" i="3"/>
  <c r="E12" i="3" s="1"/>
  <c r="B13" i="3"/>
  <c r="E13" i="3" s="1"/>
  <c r="B14" i="3"/>
  <c r="E14" i="3" s="1"/>
  <c r="B15" i="3"/>
  <c r="E15" i="3" s="1"/>
  <c r="B16" i="3"/>
  <c r="E16" i="3" s="1"/>
  <c r="B17" i="3"/>
  <c r="E17" i="3" s="1"/>
  <c r="B18" i="3"/>
  <c r="E18" i="3" s="1"/>
  <c r="B19" i="3"/>
  <c r="E19" i="3" s="1"/>
  <c r="B20" i="3"/>
  <c r="E20" i="3" s="1"/>
  <c r="B21" i="3"/>
  <c r="E21" i="3" s="1"/>
  <c r="B22" i="3"/>
  <c r="E22" i="3" s="1"/>
  <c r="B23" i="3"/>
  <c r="E23" i="3" s="1"/>
  <c r="B24" i="3"/>
  <c r="E24" i="3" s="1"/>
  <c r="B25" i="3"/>
  <c r="E25" i="3" s="1"/>
  <c r="B26" i="3"/>
  <c r="E26" i="3" s="1"/>
  <c r="B27" i="3"/>
  <c r="E27" i="3" s="1"/>
  <c r="B28" i="3"/>
  <c r="E28" i="3" s="1"/>
  <c r="B29" i="3"/>
  <c r="E29" i="3" s="1"/>
  <c r="B30" i="3"/>
  <c r="E30" i="3" s="1"/>
  <c r="B2" i="3"/>
  <c r="E2" i="3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2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E11" i="2" l="1"/>
  <c r="E9" i="1"/>
  <c r="E12" i="2"/>
  <c r="E15" i="2"/>
  <c r="E10" i="1"/>
  <c r="E14" i="2"/>
  <c r="E16" i="2"/>
  <c r="E5" i="2"/>
  <c r="E18" i="2"/>
  <c r="E9" i="2"/>
  <c r="E13" i="2"/>
  <c r="E7" i="2"/>
  <c r="E6" i="2"/>
  <c r="E10" i="2"/>
  <c r="E8" i="2"/>
  <c r="E4" i="2"/>
  <c r="E2" i="2"/>
  <c r="E3" i="2"/>
  <c r="E17" i="2"/>
  <c r="E5" i="1"/>
  <c r="E8" i="1"/>
  <c r="E14" i="1"/>
  <c r="E16" i="1"/>
  <c r="E17" i="1"/>
  <c r="E15" i="1"/>
  <c r="E18" i="1"/>
  <c r="E11" i="1"/>
  <c r="E3" i="1"/>
  <c r="E12" i="1"/>
  <c r="E4" i="1"/>
  <c r="E13" i="1"/>
  <c r="E6" i="1"/>
  <c r="E7" i="1"/>
  <c r="E2" i="1"/>
</calcChain>
</file>

<file path=xl/sharedStrings.xml><?xml version="1.0" encoding="utf-8"?>
<sst xmlns="http://schemas.openxmlformats.org/spreadsheetml/2006/main" count="518" uniqueCount="204">
  <si>
    <t>სახელი</t>
  </si>
  <si>
    <t>გვარი</t>
  </si>
  <si>
    <t>ტესტი 1</t>
  </si>
  <si>
    <t>ტესტი 2</t>
  </si>
  <si>
    <t>ლელა</t>
  </si>
  <si>
    <t>აკობია</t>
  </si>
  <si>
    <t>ნინო</t>
  </si>
  <si>
    <t>კოტორაშვილი</t>
  </si>
  <si>
    <t>ემზარ</t>
  </si>
  <si>
    <t>ცინცაძე</t>
  </si>
  <si>
    <t>ნათელა</t>
  </si>
  <si>
    <t>ბერიაშვილი</t>
  </si>
  <si>
    <t>ჟანა</t>
  </si>
  <si>
    <t>აბესაძე</t>
  </si>
  <si>
    <t>გიორგი</t>
  </si>
  <si>
    <t>ფიოლია</t>
  </si>
  <si>
    <t>ნატალია</t>
  </si>
  <si>
    <t>კვაჭატაძე</t>
  </si>
  <si>
    <t>ბაგალიშვილი</t>
  </si>
  <si>
    <t>ადამია</t>
  </si>
  <si>
    <t>ამირან</t>
  </si>
  <si>
    <t>უსანეთაშვილი</t>
  </si>
  <si>
    <t>გურამი</t>
  </si>
  <si>
    <t>ჩიხლაძე</t>
  </si>
  <si>
    <t>აბრამ</t>
  </si>
  <si>
    <t>ჩიმაკაძე</t>
  </si>
  <si>
    <t>ბადრი</t>
  </si>
  <si>
    <t>ჯღარკავა</t>
  </si>
  <si>
    <t>კეჩხუაშვილი</t>
  </si>
  <si>
    <t>ჯუანშერი</t>
  </si>
  <si>
    <t>ქიტიაშვილი</t>
  </si>
  <si>
    <t>თეონა</t>
  </si>
  <si>
    <t>ბაზერაშვილი</t>
  </si>
  <si>
    <t>ოთარი</t>
  </si>
  <si>
    <t>ხუცურაული</t>
  </si>
  <si>
    <t>უნივერსიტეტი</t>
  </si>
  <si>
    <t>პასუხი</t>
  </si>
  <si>
    <t>სამუშაოს დაწყების თარიღი</t>
  </si>
  <si>
    <t>სამუშაოს  დასრულებისთარიღი</t>
  </si>
  <si>
    <t>დასვენების დღეები</t>
  </si>
  <si>
    <t>სახელი და გვარი</t>
  </si>
  <si>
    <t>ბეროშვილი ნუციკო</t>
  </si>
  <si>
    <t>ბილისეიშვილი კესო</t>
  </si>
  <si>
    <t>ბუგიანიშვილი ელენე</t>
  </si>
  <si>
    <t>გიგაშვილი გიორგი</t>
  </si>
  <si>
    <t>დარჩიაშვილი ილია</t>
  </si>
  <si>
    <t>ეზიაშვილი ეკა</t>
  </si>
  <si>
    <t>კოტრიკაძე კახაბერ</t>
  </si>
  <si>
    <t>ლოლაძე ავთანდილ</t>
  </si>
  <si>
    <t>ლორთქიფანიძე ნინო</t>
  </si>
  <si>
    <t>მდივანი ქეთევან</t>
  </si>
  <si>
    <t>მუქაელიანი მილენა</t>
  </si>
  <si>
    <t>ნინიძე თათია</t>
  </si>
  <si>
    <t>ომარაშვილი თამარი</t>
  </si>
  <si>
    <t>სიორიძე სანდრო</t>
  </si>
  <si>
    <t>ტყებუჩავა ანა</t>
  </si>
  <si>
    <t>ფალავანდიშვილი ნათია</t>
  </si>
  <si>
    <t>ფურცხვანიძე მარიამი</t>
  </si>
  <si>
    <t>შინგაზრდილოვი გვანცა</t>
  </si>
  <si>
    <t>შიოშვილი თამარი</t>
  </si>
  <si>
    <t>ცეცხლაძე კონსტანტინე</t>
  </si>
  <si>
    <t>ძიძიკაშვილი ლევან</t>
  </si>
  <si>
    <t>წილოსანი ნიკა</t>
  </si>
  <si>
    <t>ჭყონია ლიზი</t>
  </si>
  <si>
    <t>გაბრიჩიძე გიორგი</t>
  </si>
  <si>
    <t>გაჩეჩილაძე მარიამ</t>
  </si>
  <si>
    <t>გოგალაძე მაგდა</t>
  </si>
  <si>
    <t>გოგნაძე მარიამ</t>
  </si>
  <si>
    <t>გულიაშვილი ელენე</t>
  </si>
  <si>
    <t>ზარქუა ნათია</t>
  </si>
  <si>
    <t>თანამდებობა</t>
  </si>
  <si>
    <t>არქიტექტორი</t>
  </si>
  <si>
    <t>გაყიდვები</t>
  </si>
  <si>
    <t>ასაკი</t>
  </si>
  <si>
    <t>მომხმარებლების რაოდენობა</t>
  </si>
  <si>
    <t>სადაზღვევო პაკეტი</t>
  </si>
  <si>
    <t>Standart</t>
  </si>
  <si>
    <t>Premium</t>
  </si>
  <si>
    <t>Gold</t>
  </si>
  <si>
    <t>Medium</t>
  </si>
  <si>
    <t>ანაზღაურება ბონუსით</t>
  </si>
  <si>
    <t>ანაზღაურება</t>
  </si>
  <si>
    <t>პროდუქტი</t>
  </si>
  <si>
    <t>კომპიუტერი</t>
  </si>
  <si>
    <t>ფოტოაპარატი</t>
  </si>
  <si>
    <t>ტელევიზორი</t>
  </si>
  <si>
    <t>მობილური</t>
  </si>
  <si>
    <t>პლანშეტი</t>
  </si>
  <si>
    <t>ერთეულის ფასი</t>
  </si>
  <si>
    <t>მაღაზია</t>
  </si>
  <si>
    <t>mobi</t>
  </si>
  <si>
    <t>samsung</t>
  </si>
  <si>
    <t>sony</t>
  </si>
  <si>
    <t>iphone +</t>
  </si>
  <si>
    <t>elit electronics</t>
  </si>
  <si>
    <t>alta</t>
  </si>
  <si>
    <t>smile</t>
  </si>
  <si>
    <t>რაოდენობა</t>
  </si>
  <si>
    <t>უკაბელო ყურსასმენი</t>
  </si>
  <si>
    <t>მონიტორი</t>
  </si>
  <si>
    <t>კლავიატურა</t>
  </si>
  <si>
    <t>SSD</t>
  </si>
  <si>
    <t>ლეპტოპი</t>
  </si>
  <si>
    <t>სათამაშო კომპიუტერი</t>
  </si>
  <si>
    <t>მაუსი</t>
  </si>
  <si>
    <t>აიპადი</t>
  </si>
  <si>
    <t>სათამაშო ყურსასმენი</t>
  </si>
  <si>
    <t>პლეისტეიშენი</t>
  </si>
  <si>
    <t>დამტენი</t>
  </si>
  <si>
    <t>ოლედ მონიტორი</t>
  </si>
  <si>
    <t>დაბადების თარიღი</t>
  </si>
  <si>
    <t>ქალაქი</t>
  </si>
  <si>
    <t>სამუშაო ადგილი (ორგანიზაცია)</t>
  </si>
  <si>
    <t>განათლება</t>
  </si>
  <si>
    <t>ყოველთვიური ანაზღაურება</t>
  </si>
  <si>
    <t>სადაზღვევო კომპანია</t>
  </si>
  <si>
    <t>დაზღვევის თანხა</t>
  </si>
  <si>
    <t>საპენსიო ფონდი</t>
  </si>
  <si>
    <t>ხელშეკრულების გაფორმების დრო</t>
  </si>
  <si>
    <t>ხელშეკრულების შეწყვეტის დრო</t>
  </si>
  <si>
    <t>ეკატერინე</t>
  </si>
  <si>
    <t>დემეტრაშვილი</t>
  </si>
  <si>
    <t>კასპი</t>
  </si>
  <si>
    <t>ნიკორა</t>
  </si>
  <si>
    <t>ქირურგი</t>
  </si>
  <si>
    <t>საშუალო</t>
  </si>
  <si>
    <t>პე ეს პე</t>
  </si>
  <si>
    <t>დიახ</t>
  </si>
  <si>
    <t>გიორგაძე</t>
  </si>
  <si>
    <t>ქუთაისი</t>
  </si>
  <si>
    <t>ხარება</t>
  </si>
  <si>
    <t>მოლარე</t>
  </si>
  <si>
    <t>არდი</t>
  </si>
  <si>
    <t>ლუკა</t>
  </si>
  <si>
    <t>ქართველიშვილი</t>
  </si>
  <si>
    <t>ახმეტა</t>
  </si>
  <si>
    <t>სტამბა</t>
  </si>
  <si>
    <t>პროგრამისტი</t>
  </si>
  <si>
    <t>ჯიპიაი ჰოლდინგი</t>
  </si>
  <si>
    <t>ნიკოლოზ</t>
  </si>
  <si>
    <t>გიგაური</t>
  </si>
  <si>
    <t>ლეგატო</t>
  </si>
  <si>
    <t>ოპერატორი</t>
  </si>
  <si>
    <t>ავერსი</t>
  </si>
  <si>
    <t>შვანგირაძე</t>
  </si>
  <si>
    <t>ახალქალაქი</t>
  </si>
  <si>
    <t>ალფა</t>
  </si>
  <si>
    <t>ბუღალტერი</t>
  </si>
  <si>
    <t>ალდაგი</t>
  </si>
  <si>
    <t>ადამაშვილი</t>
  </si>
  <si>
    <t>ონი</t>
  </si>
  <si>
    <t>არმანი</t>
  </si>
  <si>
    <t>კარდიოლოგი</t>
  </si>
  <si>
    <t>უმაღლესი</t>
  </si>
  <si>
    <t>იმედი ელ</t>
  </si>
  <si>
    <t>არა</t>
  </si>
  <si>
    <t>მიხეილ</t>
  </si>
  <si>
    <t>კერესელიძე</t>
  </si>
  <si>
    <t>ვანი</t>
  </si>
  <si>
    <t>აპექსი</t>
  </si>
  <si>
    <t>დირექტორი</t>
  </si>
  <si>
    <t>ბუკია</t>
  </si>
  <si>
    <t>გორი</t>
  </si>
  <si>
    <t>გაგნიძე</t>
  </si>
  <si>
    <t>გურჯაანი</t>
  </si>
  <si>
    <t>გუდვილი</t>
  </si>
  <si>
    <t>თომა</t>
  </si>
  <si>
    <t>სააკაძე</t>
  </si>
  <si>
    <t>ბორჯომი</t>
  </si>
  <si>
    <t>არქი</t>
  </si>
  <si>
    <t>მხატვარ-დიზაინერი</t>
  </si>
  <si>
    <t>სხირტლაძე</t>
  </si>
  <si>
    <t>კარფური</t>
  </si>
  <si>
    <t>ელექტრიკოსი</t>
  </si>
  <si>
    <t>მზარეული</t>
  </si>
  <si>
    <t>ანა</t>
  </si>
  <si>
    <t>ფოთი</t>
  </si>
  <si>
    <t>კონსულტანტი</t>
  </si>
  <si>
    <t>დავით</t>
  </si>
  <si>
    <t>ბერიკაშვილი</t>
  </si>
  <si>
    <t>ნომა</t>
  </si>
  <si>
    <t>გელა</t>
  </si>
  <si>
    <t>მაისურაძე</t>
  </si>
  <si>
    <t>თბილისი</t>
  </si>
  <si>
    <t>მცხეთა</t>
  </si>
  <si>
    <t>ინჟინერი</t>
  </si>
  <si>
    <t>რეჟისორი</t>
  </si>
  <si>
    <t>მიქაძე</t>
  </si>
  <si>
    <t>მარიამ</t>
  </si>
  <si>
    <t>მერმისი</t>
  </si>
  <si>
    <t>მართა</t>
  </si>
  <si>
    <t>მძღოლი</t>
  </si>
  <si>
    <t>კალაძე</t>
  </si>
  <si>
    <t>კალანდარიშვილი</t>
  </si>
  <si>
    <t>თელავი</t>
  </si>
  <si>
    <t>ცაგარეიშვილი</t>
  </si>
  <si>
    <t>ოზურგეთი</t>
  </si>
  <si>
    <t>ალექსანდრე</t>
  </si>
  <si>
    <t>პირადი ნომერი</t>
  </si>
  <si>
    <t>ელექტრონული ფოსტა</t>
  </si>
  <si>
    <t>რაიმონდ</t>
  </si>
  <si>
    <t>ქლიბაძე</t>
  </si>
  <si>
    <t>რაიმონდქ@</t>
  </si>
  <si>
    <t>01234567890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</si>
</sst>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9" x14ac:knownFonts="1">
    <font>
      <sz val="11"/>
      <color theme="1"/>
      <name val="Sylfaen"/>
      <family val="2"/>
      <charset val="1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Sylfaen"/>
      <family val="2"/>
      <scheme val="minor"/>
    </font>
    <font>
      <sz val="11"/>
      <color theme="1"/>
      <name val="Aptos Narrow"/>
      <family val="2"/>
    </font>
    <font>
      <b/>
      <sz val="9"/>
      <color theme="1"/>
      <name val="Aptos Narrow"/>
      <family val="2"/>
    </font>
    <font>
      <sz val="9"/>
      <color theme="1"/>
      <name val="Arial"/>
      <family val="2"/>
    </font>
    <font>
      <sz val="9"/>
      <color theme="1"/>
      <name val="Aptos Narrow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14" fontId="4" fillId="4" borderId="1" xfId="1" applyNumberFormat="1" applyFont="1" applyFill="1" applyBorder="1"/>
    <xf numFmtId="0" fontId="4" fillId="5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1" fontId="0" fillId="0" borderId="0" xfId="0" applyNumberFormat="1"/>
    <xf numFmtId="0" fontId="0" fillId="3" borderId="3" xfId="0" applyFill="1" applyBorder="1" applyAlignment="1">
      <alignment horizontal="center" vertical="center"/>
    </xf>
    <xf numFmtId="0" fontId="0" fillId="4" borderId="3" xfId="0" applyFill="1" applyBorder="1"/>
    <xf numFmtId="0" fontId="0" fillId="6" borderId="3" xfId="0" applyFill="1" applyBorder="1" applyAlignment="1">
      <alignment horizontal="center" vertical="center"/>
    </xf>
    <xf numFmtId="14" fontId="0" fillId="7" borderId="3" xfId="0" applyNumberForma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7" fillId="4" borderId="1" xfId="0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0" fillId="8" borderId="3" xfId="0" applyFill="1" applyBorder="1" applyAlignment="1">
      <alignment horizontal="center" vertical="center"/>
    </xf>
    <xf numFmtId="0" fontId="0" fillId="0" borderId="3" xfId="0" applyBorder="1"/>
    <xf numFmtId="0" fontId="8" fillId="5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164" fontId="8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0" fillId="9" borderId="0" xfId="0" applyFill="1"/>
    <xf numFmtId="164" fontId="8" fillId="4" borderId="4" xfId="0" applyNumberFormat="1" applyFont="1" applyFill="1" applyBorder="1" applyAlignment="1">
      <alignment horizontal="center"/>
    </xf>
    <xf numFmtId="0" fontId="8" fillId="4" borderId="4" xfId="0" applyFont="1" applyFill="1" applyBorder="1"/>
    <xf numFmtId="0" fontId="8" fillId="4" borderId="4" xfId="0" applyFont="1" applyFill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4" borderId="3" xfId="0" applyFont="1" applyFill="1" applyBorder="1"/>
    <xf numFmtId="164" fontId="8" fillId="4" borderId="3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0" fillId="7" borderId="0" xfId="0" applyFill="1"/>
    <xf numFmtId="0" fontId="0" fillId="2" borderId="0" xfId="0" applyFill="1"/>
    <xf numFmtId="0" fontId="1" fillId="10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/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center" vertical="center" wrapText="1"/>
    </xf>
    <xf numFmtId="49" fontId="8" fillId="4" borderId="1" xfId="0" applyNumberFormat="1" applyFont="1" applyFill="1" applyBorder="1"/>
    <xf numFmtId="49" fontId="0" fillId="0" borderId="0" xfId="0" applyNumberFormat="1"/>
  </cellXfs>
  <cellStyles count="2">
    <cellStyle name="Normal" xfId="0" builtinId="0"/>
    <cellStyle name="Normal 2" xfId="1" xr:uid="{44D4AEBC-435D-46BF-9604-F04CA531E59F}"/>
  </cellStyles>
  <dxfs count="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681037</xdr:colOff>
      <xdr:row>1</xdr:row>
      <xdr:rowOff>23812</xdr:rowOff>
    </xdr:from>
    <xdr:to>
      <xdr:col>15</xdr:col>
      <xdr:colOff>371475</xdr:colOff>
      <xdr:row>5</xdr:row>
      <xdr:rowOff>176212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2EE5CF-3903-C5BB-21C5-89AA66C8F95B}"/>
            </a:ext>
          </a:extLst>
        </xdr:cNvPr>
        <xdr:cNvSpPr txBox="1"/>
      </xdr:nvSpPr>
      <xdr:spPr>
        <a:xfrm>
          <a:off x="8624887" y="214312"/>
          <a:ext cx="5176838" cy="9144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a-GE" sz="1100"/>
            <a:t>პასუხი უჯრაში გამოიტანეთ სტუდენტის სახელი,</a:t>
          </a:r>
          <a:r>
            <a:rPr lang="ka-GE" sz="1100" baseline="0"/>
            <a:t> გვარი, უნივერსიტეტის სახელის პირველი ორი ასო დაბალ რეგისტრში და ტესტი 1 ტესტი 2-ის ჯამური შედეგი. </a:t>
          </a:r>
          <a:r>
            <a:rPr lang="ka-GE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ცარიელი</a:t>
          </a:r>
          <a:r>
            <a:rPr lang="ka-GE" sz="1100" baseline="0"/>
            <a:t> ადგილის ნაცვლად </a:t>
          </a:r>
          <a:r>
            <a:rPr lang="en-US" sz="1100" baseline="0"/>
            <a:t>(space) </a:t>
          </a:r>
          <a:r>
            <a:rPr lang="ka-GE" sz="1100" baseline="0"/>
            <a:t>გამოიყენეთ სიმბოლო </a:t>
          </a:r>
          <a:r>
            <a:rPr lang="en-US" sz="1100" baseline="0"/>
            <a:t>"_".</a:t>
          </a:r>
          <a:endParaRPr lang="ka-G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457200</xdr:colOff>
      <xdr:row>7</xdr:row>
      <xdr:rowOff>142875</xdr:rowOff>
    </xdr:from>
    <xdr:ext cx="2828925" cy="27808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8B1404-E907-9D5D-63A7-0232DF9FBFF0}"/>
            </a:ext>
          </a:extLst>
        </xdr:cNvPr>
        <xdr:cNvSpPr txBox="1"/>
      </xdr:nvSpPr>
      <xdr:spPr>
        <a:xfrm>
          <a:off x="9144000" y="2047875"/>
          <a:ext cx="2828925" cy="2780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ka-GE" sz="1100"/>
        </a:p>
      </xdr:txBody>
    </xdr:sp>
    <xdr:clientData/>
  </xdr:oneCellAnchor>
  <xdr:oneCellAnchor>
    <xdr:from>
      <xdr:col>12</xdr:col>
      <xdr:colOff>123825</xdr:colOff>
      <xdr:row>8</xdr:row>
      <xdr:rowOff>0</xdr:rowOff>
    </xdr:from>
    <xdr:ext cx="4657725" cy="13049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9A9E73-E394-F952-7F2C-C615458832D8}"/>
            </a:ext>
          </a:extLst>
        </xdr:cNvPr>
        <xdr:cNvSpPr txBox="1"/>
      </xdr:nvSpPr>
      <xdr:spPr>
        <a:xfrm>
          <a:off x="9496425" y="2095500"/>
          <a:ext cx="4657725" cy="13049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B1</a:t>
          </a:r>
          <a:r>
            <a:rPr lang="en-US" sz="1100" baseline="0"/>
            <a:t> </a:t>
          </a:r>
          <a:r>
            <a:rPr lang="ka-GE" sz="1100" baseline="0"/>
            <a:t>და </a:t>
          </a:r>
          <a:r>
            <a:rPr lang="en-US" sz="1100" baseline="0"/>
            <a:t>C2 </a:t>
          </a:r>
          <a:r>
            <a:rPr lang="ka-GE" sz="1100" baseline="0"/>
            <a:t>სვეტში მოცემულია სამუშაოს დაწყებისა და დასრულების თარიღები. </a:t>
          </a:r>
          <a:r>
            <a:rPr lang="ka-GE" sz="1100"/>
            <a:t>პასუხი სვეტში</a:t>
          </a:r>
          <a:r>
            <a:rPr lang="ka-GE" sz="1100" baseline="0"/>
            <a:t> მიიღეთ მომხმარებლის სამუშაო დღეების რაოდენობა, გაითვალისწინეთ, დაასვენების დღეებში შედის შაბათი და კვირა, ასევე </a:t>
          </a:r>
          <a:r>
            <a:rPr lang="en-US" sz="1100" baseline="0"/>
            <a:t>J1 </a:t>
          </a:r>
          <a:r>
            <a:rPr lang="ka-GE" sz="1100" baseline="0"/>
            <a:t>უჯრაში მოცემული დღეები. დაადგინეთ კვირის მერამდენე დღეს დაასრულა მომხმარებელმა მუშაობა. პასუხები გამოყავით "-" სიმბოლოთი.</a:t>
          </a:r>
          <a:endParaRPr lang="ka-GE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590550</xdr:colOff>
      <xdr:row>7</xdr:row>
      <xdr:rowOff>104775</xdr:rowOff>
    </xdr:from>
    <xdr:ext cx="6619875" cy="10477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423622-FCAA-EB3C-0052-AECEC98DA305}"/>
            </a:ext>
          </a:extLst>
        </xdr:cNvPr>
        <xdr:cNvSpPr txBox="1"/>
      </xdr:nvSpPr>
      <xdr:spPr>
        <a:xfrm>
          <a:off x="8553450" y="1857375"/>
          <a:ext cx="6619875" cy="104775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a-GE" sz="1100"/>
            <a:t>მოცემულია</a:t>
          </a:r>
          <a:r>
            <a:rPr lang="ka-GE" sz="1100" baseline="0"/>
            <a:t> თანამშრომლების ჯამური გაყიდვების რაოდენობა მომხმარებლების მიხედვით, ასევე მოცემულია სადაზღვევო პაკეტები. "ანაზღაურება ბონუსით" სვეტში, გამოთვალეთ, თანამშრომლების ჯამური ხელფასი. გაითვალისწინეთ რომ საბაზისო ანაზრაურება მოცემულია</a:t>
          </a:r>
          <a:r>
            <a:rPr lang="en-US" sz="1100" baseline="0"/>
            <a:t> H2 </a:t>
          </a:r>
          <a:r>
            <a:rPr lang="ka-GE" sz="1100" baseline="0"/>
            <a:t>უჯრაში. ბონუსი ერიცხებათ მხოლოდ მათ ვისი გაყიდვებიც &gt; 10000, მომხმარებლები &gt;25 და სადაზღვევო პაკეტი აქვს </a:t>
          </a:r>
          <a:r>
            <a:rPr lang="en-US" sz="1100" baseline="0"/>
            <a:t>Standart. </a:t>
          </a:r>
          <a:r>
            <a:rPr lang="ka-GE" sz="1100" baseline="0"/>
            <a:t>ბონუსი შეადგენს გაყიდვების რაოდენობის </a:t>
          </a:r>
          <a:r>
            <a:rPr lang="en-US" sz="1100" baseline="0"/>
            <a:t>5%</a:t>
          </a:r>
          <a:r>
            <a:rPr lang="ka-GE" sz="1100" baseline="0"/>
            <a:t>-ს.</a:t>
          </a:r>
          <a:endParaRPr lang="ka-GE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400050</xdr:colOff>
      <xdr:row>0</xdr:row>
      <xdr:rowOff>142875</xdr:rowOff>
    </xdr:from>
    <xdr:ext cx="3895725" cy="28786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91554F-CB3D-F660-8566-1B43AAB810C3}"/>
            </a:ext>
          </a:extLst>
        </xdr:cNvPr>
        <xdr:cNvSpPr txBox="1"/>
      </xdr:nvSpPr>
      <xdr:spPr>
        <a:xfrm>
          <a:off x="8124825" y="142875"/>
          <a:ext cx="3895725" cy="2878673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a-GE" sz="1100"/>
            <a:t>მოცემული</a:t>
          </a:r>
          <a:r>
            <a:rPr lang="ka-GE" sz="1100" baseline="0"/>
            <a:t> ცხრილის მიხედვით გააკეთეთ შემდეგი დავალება:</a:t>
          </a:r>
        </a:p>
        <a:p>
          <a:r>
            <a:rPr lang="ka-GE" sz="1100" baseline="0"/>
            <a:t>1) </a:t>
          </a:r>
          <a:r>
            <a:rPr lang="en-US" sz="1100" baseline="0"/>
            <a:t>G1 </a:t>
          </a:r>
          <a:r>
            <a:rPr lang="ka-GE" sz="1100" baseline="0"/>
            <a:t>უჯრაში მომხმარებელი უნდა ირჩევდეს საძიებო პარამეტრს (სვეტის სათაურს): "ერთეულის ფასი", "მაღაზია", "რაოდენობა".</a:t>
          </a:r>
        </a:p>
        <a:p>
          <a:r>
            <a:rPr lang="ka-GE" sz="1100" baseline="0"/>
            <a:t>2) </a:t>
          </a:r>
          <a:r>
            <a:rPr lang="en-US" sz="1100" baseline="0"/>
            <a:t>G2 </a:t>
          </a:r>
          <a:r>
            <a:rPr lang="ka-GE" sz="1100" baseline="0"/>
            <a:t>უჯრაში მომხმარებელმა უნდა დაწეროს პროდუქტის სახელი მაგალითად: </a:t>
          </a:r>
          <a:r>
            <a:rPr lang="en-US" sz="1100" baseline="0"/>
            <a:t>"</a:t>
          </a:r>
          <a:r>
            <a:rPr lang="ka-GE" sz="1100" baseline="0"/>
            <a:t>კომპიუტერი".</a:t>
          </a:r>
        </a:p>
        <a:p>
          <a:r>
            <a:rPr lang="ka-GE" sz="1100" baseline="0"/>
            <a:t>3) </a:t>
          </a:r>
          <a:r>
            <a:rPr lang="en-US" sz="1100" baseline="0"/>
            <a:t>G3 </a:t>
          </a:r>
          <a:r>
            <a:rPr lang="ka-GE" sz="1100" baseline="0"/>
            <a:t>უჯრაში უნდა გამოიტანოთ შესაბამისი მონაცემი პირველი და მეორე პირობის მიხედვით, მაგალითად: თუ </a:t>
          </a:r>
          <a:r>
            <a:rPr lang="en-US" sz="1100" baseline="0"/>
            <a:t>G1</a:t>
          </a:r>
          <a:r>
            <a:rPr lang="ka-GE" sz="1100" baseline="0"/>
            <a:t> სვეტში ავირჩევთ ერთეულის ფასს, </a:t>
          </a:r>
          <a:r>
            <a:rPr lang="en-US" sz="1100" baseline="0"/>
            <a:t>G2 </a:t>
          </a:r>
          <a:r>
            <a:rPr lang="ka-GE" sz="1100" baseline="0"/>
            <a:t>უჯრაში ჩავწერთ კომპიუტერს</a:t>
          </a:r>
          <a:r>
            <a:rPr lang="en-US" sz="1100" baseline="0"/>
            <a:t>, G3 </a:t>
          </a:r>
          <a:r>
            <a:rPr lang="ka-GE" sz="1100" baseline="0"/>
            <a:t>უჯრას უნდა გამოქონდეს კომპიუტერის ზუსტი ფასი.</a:t>
          </a:r>
        </a:p>
        <a:p>
          <a:r>
            <a:rPr lang="ka-GE" sz="1100" baseline="0"/>
            <a:t>4) მონცემის არ არსებობის შემთხვევაში გამოიტანოს შეტყობინება "მონაცემი არ მოიძებნა"</a:t>
          </a:r>
        </a:p>
        <a:p>
          <a:endParaRPr lang="ka-GE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238126</xdr:colOff>
      <xdr:row>0</xdr:row>
      <xdr:rowOff>628650</xdr:rowOff>
    </xdr:from>
    <xdr:ext cx="6838949" cy="13049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7E77D8-26BC-353B-B807-9EE3834E09E1}"/>
            </a:ext>
          </a:extLst>
        </xdr:cNvPr>
        <xdr:cNvSpPr txBox="1"/>
      </xdr:nvSpPr>
      <xdr:spPr>
        <a:xfrm>
          <a:off x="11820526" y="628650"/>
          <a:ext cx="6838949" cy="13049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Conditional Formating</a:t>
          </a:r>
          <a:r>
            <a:rPr lang="ka-GE" sz="1100" baseline="0"/>
            <a:t>-ის დახმარებით შეასრულეთ დავალება: </a:t>
          </a:r>
        </a:p>
        <a:p>
          <a:r>
            <a:rPr lang="ka-GE" sz="1100" baseline="0"/>
            <a:t>1) გააფერადეთ, თეთრად  მომხმარებლის სახელი და გვარი, რომლებიც დაიბადნენ 1980-1995 შუალედში, </a:t>
          </a:r>
        </a:p>
        <a:p>
          <a:r>
            <a:rPr lang="ka-GE" sz="1100" baseline="0"/>
            <a:t>აქვთ საპენსიო ფონდი და განათლება აქვთ საშუალო.</a:t>
          </a:r>
        </a:p>
        <a:p>
          <a:r>
            <a:rPr lang="ka-GE" sz="1100" baseline="0"/>
            <a:t>2) ხელშეკრულების გაფორმების და ხელშეკრულების შეწვეტის დროებში, გააფერადეთ</a:t>
          </a:r>
        </a:p>
        <a:p>
          <a:r>
            <a:rPr lang="ka-GE" sz="1100" baseline="0"/>
            <a:t>ის უჯრები წითლად, რომლის კვირის დღე შეესაბამება შაბათს ან კვირას, ხოლო დანარჩენი</a:t>
          </a:r>
        </a:p>
        <a:p>
          <a:r>
            <a:rPr lang="ka-GE" sz="1100" baseline="0"/>
            <a:t>უჯრა შეღებეთ ყვითლად.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123825</xdr:colOff>
      <xdr:row>0</xdr:row>
      <xdr:rowOff>266700</xdr:rowOff>
    </xdr:from>
    <xdr:ext cx="3676650" cy="213564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31FE29-1D11-3134-4313-CC4AF222ECB1}"/>
            </a:ext>
          </a:extLst>
        </xdr:cNvPr>
        <xdr:cNvSpPr txBox="1"/>
      </xdr:nvSpPr>
      <xdr:spPr>
        <a:xfrm>
          <a:off x="4495800" y="266700"/>
          <a:ext cx="3676650" cy="2135649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Data</a:t>
          </a:r>
          <a:r>
            <a:rPr lang="en-US" sz="1100" baseline="0"/>
            <a:t> validation-</a:t>
          </a:r>
          <a:r>
            <a:rPr lang="ka-GE" sz="1100" baseline="0"/>
            <a:t>ის დახმარებით ცხრილს დაადეთ შემდეგი შეზღუდვები:</a:t>
          </a:r>
        </a:p>
        <a:p>
          <a:r>
            <a:rPr lang="ka-GE" sz="1100" baseline="0"/>
            <a:t>1) სახელი და გვარის შესაბამის სვეტში მხოლოდ უნდა შეიძლებოდეს ტექსტური მონაცემის ჩაწერა.</a:t>
          </a:r>
        </a:p>
        <a:p>
          <a:r>
            <a:rPr lang="ka-GE" sz="1100" baseline="0"/>
            <a:t>2)პირად ნომრის სვეტში შეყვანილი მონაცემები უნდა იყოს 11 ციფრი. არ უნდა შეიძლებოდეს ტექსტური მონაცემის შეყვანა.</a:t>
          </a:r>
        </a:p>
        <a:p>
          <a:r>
            <a:rPr lang="ka-GE" sz="1100" baseline="0"/>
            <a:t>3) ელექტრონულ ფოსტის ველში უნდა შეიძლებოდეს მხოლოდ ისეთი მონაცემის შეყვანა, რომელიც შეიცავს მომხმარებლის სახელს, გვარის პირველ ასოს, და ნიშან </a:t>
          </a:r>
        </a:p>
        <a:p>
          <a:r>
            <a:rPr lang="ka-GE" sz="1100" baseline="0"/>
            <a:t>"@".</a:t>
          </a:r>
          <a:endParaRPr lang="ka-GE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1096-FC42-4D4C-8011-815446A80D87}">
  <dimension ref="A1:F18"/>
  <sheetViews>
    <sheetView workbookViewId="0">
      <selection activeCell="D24" sqref="D24"/>
    </sheetView>
  </sheetViews>
  <sheetFormatPr defaultRowHeight="15" x14ac:dyDescent="0.25"/>
  <cols>
    <col min="1" max="1" width="15.125" customWidth="1"/>
    <col min="2" max="2" width="18.125" customWidth="1"/>
    <col min="3" max="3" width="12.125" customWidth="1"/>
    <col min="5" max="5" width="26.625" bestFit="1" customWidth="1"/>
    <col min="6" max="6" width="14.25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36</v>
      </c>
      <c r="F1" s="4" t="s">
        <v>35</v>
      </c>
    </row>
    <row r="2" spans="1:6" x14ac:dyDescent="0.25">
      <c r="A2" s="5" t="s">
        <v>4</v>
      </c>
      <c r="B2" s="5" t="s">
        <v>5</v>
      </c>
      <c r="C2" s="6">
        <f t="shared" ref="C2:D17" ca="1" si="0">RANDBETWEEN(1,10)</f>
        <v>2</v>
      </c>
      <c r="D2" s="6">
        <f t="shared" ca="1" si="0"/>
        <v>4</v>
      </c>
      <c r="E2" s="5" t="str">
        <f ca="1">_xlfn.TEXTJOIN("_",TRUE,A2,B2,LOWER(LEFT(F2,2)),C2+D2)</f>
        <v>ლელა_აკობია_il_6</v>
      </c>
      <c r="F2" s="5" t="str">
        <f t="shared" ref="F2:F18" ca="1" si="1">CHOOSE(RANDBETWEEN(1,8),"CU","TSU","GTU","SSU","BTU","IBSU","ILIAUNI","AGRUNI")</f>
        <v>ILIAUNI</v>
      </c>
    </row>
    <row r="3" spans="1:6" x14ac:dyDescent="0.25">
      <c r="A3" s="5" t="s">
        <v>6</v>
      </c>
      <c r="B3" s="5" t="s">
        <v>7</v>
      </c>
      <c r="C3" s="6">
        <f t="shared" ca="1" si="0"/>
        <v>1</v>
      </c>
      <c r="D3" s="6">
        <f t="shared" ca="1" si="0"/>
        <v>5</v>
      </c>
      <c r="E3" s="5" t="str">
        <f t="shared" ref="E3:E18" ca="1" si="2">_xlfn.TEXTJOIN("_",TRUE,A3,B3,LOWER(LEFT(F3,2)),C3+D3)</f>
        <v>ნინო_კოტორაშვილი_cu_6</v>
      </c>
      <c r="F3" s="5" t="str">
        <f t="shared" ca="1" si="1"/>
        <v>CU</v>
      </c>
    </row>
    <row r="4" spans="1:6" x14ac:dyDescent="0.25">
      <c r="A4" s="5" t="s">
        <v>8</v>
      </c>
      <c r="B4" s="5" t="s">
        <v>9</v>
      </c>
      <c r="C4" s="6">
        <f t="shared" ca="1" si="0"/>
        <v>7</v>
      </c>
      <c r="D4" s="6">
        <f t="shared" ca="1" si="0"/>
        <v>7</v>
      </c>
      <c r="E4" s="5" t="str">
        <f t="shared" ca="1" si="2"/>
        <v>ემზარ_ცინცაძე_bt_14</v>
      </c>
      <c r="F4" s="5" t="str">
        <f t="shared" ca="1" si="1"/>
        <v>BTU</v>
      </c>
    </row>
    <row r="5" spans="1:6" x14ac:dyDescent="0.25">
      <c r="A5" s="5" t="s">
        <v>10</v>
      </c>
      <c r="B5" s="5" t="s">
        <v>11</v>
      </c>
      <c r="C5" s="6">
        <f t="shared" ca="1" si="0"/>
        <v>3</v>
      </c>
      <c r="D5" s="6">
        <f t="shared" ca="1" si="0"/>
        <v>8</v>
      </c>
      <c r="E5" s="5" t="str">
        <f t="shared" ca="1" si="2"/>
        <v>ნათელა_ბერიაშვილი_cu_11</v>
      </c>
      <c r="F5" s="5" t="str">
        <f t="shared" ca="1" si="1"/>
        <v>CU</v>
      </c>
    </row>
    <row r="6" spans="1:6" x14ac:dyDescent="0.25">
      <c r="A6" s="5" t="s">
        <v>12</v>
      </c>
      <c r="B6" s="5" t="s">
        <v>13</v>
      </c>
      <c r="C6" s="6">
        <f t="shared" ca="1" si="0"/>
        <v>6</v>
      </c>
      <c r="D6" s="6">
        <f t="shared" ca="1" si="0"/>
        <v>3</v>
      </c>
      <c r="E6" s="5" t="str">
        <f t="shared" ca="1" si="2"/>
        <v>ჟანა_აბესაძე_bt_9</v>
      </c>
      <c r="F6" s="5" t="str">
        <f t="shared" ca="1" si="1"/>
        <v>BTU</v>
      </c>
    </row>
    <row r="7" spans="1:6" x14ac:dyDescent="0.25">
      <c r="A7" s="5" t="s">
        <v>14</v>
      </c>
      <c r="B7" s="5" t="s">
        <v>15</v>
      </c>
      <c r="C7" s="6">
        <f t="shared" ca="1" si="0"/>
        <v>10</v>
      </c>
      <c r="D7" s="6">
        <f t="shared" ca="1" si="0"/>
        <v>4</v>
      </c>
      <c r="E7" s="5" t="str">
        <f t="shared" ca="1" si="2"/>
        <v>გიორგი_ფიოლია_ib_14</v>
      </c>
      <c r="F7" s="5" t="str">
        <f t="shared" ca="1" si="1"/>
        <v>IBSU</v>
      </c>
    </row>
    <row r="8" spans="1:6" x14ac:dyDescent="0.25">
      <c r="A8" s="5" t="s">
        <v>16</v>
      </c>
      <c r="B8" s="5" t="s">
        <v>17</v>
      </c>
      <c r="C8" s="6">
        <f t="shared" ca="1" si="0"/>
        <v>7</v>
      </c>
      <c r="D8" s="6">
        <f t="shared" ca="1" si="0"/>
        <v>6</v>
      </c>
      <c r="E8" s="5" t="str">
        <f t="shared" ca="1" si="2"/>
        <v>ნატალია_კვაჭატაძე_ts_13</v>
      </c>
      <c r="F8" s="5" t="str">
        <f t="shared" ca="1" si="1"/>
        <v>TSU</v>
      </c>
    </row>
    <row r="9" spans="1:6" x14ac:dyDescent="0.25">
      <c r="A9" s="5" t="s">
        <v>6</v>
      </c>
      <c r="B9" s="5" t="s">
        <v>18</v>
      </c>
      <c r="C9" s="6">
        <f t="shared" ca="1" si="0"/>
        <v>3</v>
      </c>
      <c r="D9" s="6">
        <f t="shared" ca="1" si="0"/>
        <v>5</v>
      </c>
      <c r="E9" s="5" t="str">
        <f t="shared" ca="1" si="2"/>
        <v>ნინო_ბაგალიშვილი_bt_8</v>
      </c>
      <c r="F9" s="5" t="str">
        <f t="shared" ca="1" si="1"/>
        <v>BTU</v>
      </c>
    </row>
    <row r="10" spans="1:6" x14ac:dyDescent="0.25">
      <c r="A10" s="5" t="s">
        <v>6</v>
      </c>
      <c r="B10" s="5" t="s">
        <v>19</v>
      </c>
      <c r="C10" s="6">
        <f t="shared" ca="1" si="0"/>
        <v>8</v>
      </c>
      <c r="D10" s="6">
        <f t="shared" ca="1" si="0"/>
        <v>9</v>
      </c>
      <c r="E10" s="5" t="str">
        <f t="shared" ca="1" si="2"/>
        <v>ნინო_ადამია_cu_17</v>
      </c>
      <c r="F10" s="5" t="str">
        <f t="shared" ca="1" si="1"/>
        <v>CU</v>
      </c>
    </row>
    <row r="11" spans="1:6" x14ac:dyDescent="0.25">
      <c r="A11" s="5" t="s">
        <v>20</v>
      </c>
      <c r="B11" s="5" t="s">
        <v>21</v>
      </c>
      <c r="C11" s="6">
        <f t="shared" ca="1" si="0"/>
        <v>2</v>
      </c>
      <c r="D11" s="6">
        <f t="shared" ca="1" si="0"/>
        <v>5</v>
      </c>
      <c r="E11" s="5" t="str">
        <f t="shared" ca="1" si="2"/>
        <v>ამირან_უსანეთაშვილი_cu_7</v>
      </c>
      <c r="F11" s="5" t="str">
        <f t="shared" ca="1" si="1"/>
        <v>CU</v>
      </c>
    </row>
    <row r="12" spans="1:6" x14ac:dyDescent="0.25">
      <c r="A12" s="5" t="s">
        <v>22</v>
      </c>
      <c r="B12" s="5" t="s">
        <v>23</v>
      </c>
      <c r="C12" s="6">
        <f t="shared" ca="1" si="0"/>
        <v>2</v>
      </c>
      <c r="D12" s="6">
        <f t="shared" ca="1" si="0"/>
        <v>6</v>
      </c>
      <c r="E12" s="5" t="str">
        <f t="shared" ca="1" si="2"/>
        <v>გურამი_ჩიხლაძე_il_8</v>
      </c>
      <c r="F12" s="5" t="str">
        <f t="shared" ca="1" si="1"/>
        <v>ILIAUNI</v>
      </c>
    </row>
    <row r="13" spans="1:6" x14ac:dyDescent="0.25">
      <c r="A13" s="5" t="s">
        <v>24</v>
      </c>
      <c r="B13" s="5" t="s">
        <v>25</v>
      </c>
      <c r="C13" s="6">
        <f t="shared" ca="1" si="0"/>
        <v>9</v>
      </c>
      <c r="D13" s="6">
        <f t="shared" ca="1" si="0"/>
        <v>1</v>
      </c>
      <c r="E13" s="5" t="str">
        <f t="shared" ca="1" si="2"/>
        <v>აბრამ_ჩიმაკაძე_il_10</v>
      </c>
      <c r="F13" s="5" t="str">
        <f t="shared" ca="1" si="1"/>
        <v>ILIAUNI</v>
      </c>
    </row>
    <row r="14" spans="1:6" x14ac:dyDescent="0.25">
      <c r="A14" s="5" t="s">
        <v>26</v>
      </c>
      <c r="B14" s="5" t="s">
        <v>27</v>
      </c>
      <c r="C14" s="6">
        <f t="shared" ca="1" si="0"/>
        <v>7</v>
      </c>
      <c r="D14" s="6">
        <f t="shared" ca="1" si="0"/>
        <v>1</v>
      </c>
      <c r="E14" s="5" t="str">
        <f t="shared" ca="1" si="2"/>
        <v>ბადრი_ჯღარკავა_il_8</v>
      </c>
      <c r="F14" s="5" t="str">
        <f t="shared" ca="1" si="1"/>
        <v>ILIAUNI</v>
      </c>
    </row>
    <row r="15" spans="1:6" x14ac:dyDescent="0.25">
      <c r="A15" s="5" t="s">
        <v>6</v>
      </c>
      <c r="B15" s="5" t="s">
        <v>28</v>
      </c>
      <c r="C15" s="6">
        <f t="shared" ca="1" si="0"/>
        <v>7</v>
      </c>
      <c r="D15" s="6">
        <f t="shared" ca="1" si="0"/>
        <v>6</v>
      </c>
      <c r="E15" s="5" t="str">
        <f t="shared" ca="1" si="2"/>
        <v>ნინო_კეჩხუაშვილი_cu_13</v>
      </c>
      <c r="F15" s="5" t="str">
        <f t="shared" ca="1" si="1"/>
        <v>CU</v>
      </c>
    </row>
    <row r="16" spans="1:6" x14ac:dyDescent="0.25">
      <c r="A16" s="5" t="s">
        <v>29</v>
      </c>
      <c r="B16" s="5" t="s">
        <v>30</v>
      </c>
      <c r="C16" s="6">
        <f t="shared" ca="1" si="0"/>
        <v>1</v>
      </c>
      <c r="D16" s="6">
        <f t="shared" ca="1" si="0"/>
        <v>1</v>
      </c>
      <c r="E16" s="5" t="str">
        <f t="shared" ca="1" si="2"/>
        <v>ჯუანშერი_ქიტიაშვილი_bt_2</v>
      </c>
      <c r="F16" s="5" t="str">
        <f t="shared" ca="1" si="1"/>
        <v>BTU</v>
      </c>
    </row>
    <row r="17" spans="1:6" x14ac:dyDescent="0.25">
      <c r="A17" s="5" t="s">
        <v>31</v>
      </c>
      <c r="B17" s="5" t="s">
        <v>32</v>
      </c>
      <c r="C17" s="6">
        <f t="shared" ca="1" si="0"/>
        <v>3</v>
      </c>
      <c r="D17" s="6">
        <f t="shared" ca="1" si="0"/>
        <v>9</v>
      </c>
      <c r="E17" s="5" t="str">
        <f t="shared" ca="1" si="2"/>
        <v>თეონა_ბაზერაშვილი_ag_12</v>
      </c>
      <c r="F17" s="5" t="str">
        <f t="shared" ca="1" si="1"/>
        <v>AGRUNI</v>
      </c>
    </row>
    <row r="18" spans="1:6" x14ac:dyDescent="0.25">
      <c r="A18" s="5" t="s">
        <v>33</v>
      </c>
      <c r="B18" s="5" t="s">
        <v>34</v>
      </c>
      <c r="C18" s="6">
        <f t="shared" ref="C18:D18" ca="1" si="3">RANDBETWEEN(1,10)</f>
        <v>9</v>
      </c>
      <c r="D18" s="6">
        <f t="shared" ca="1" si="3"/>
        <v>10</v>
      </c>
      <c r="E18" s="5" t="str">
        <f t="shared" ca="1" si="2"/>
        <v>ოთარი_ხუცურაული_bt_19</v>
      </c>
      <c r="F18" s="5" t="str">
        <f t="shared" ca="1" si="1"/>
        <v>BTU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A325-2BCE-487E-8CB9-E666B1E5EF63}">
  <dimension ref="A1:J18"/>
  <sheetViews>
    <sheetView workbookViewId="0">
      <selection activeCell="F1" sqref="F1"/>
    </sheetView>
  </sheetViews>
  <sheetFormatPr defaultRowHeight="15" x14ac:dyDescent="0.25"/>
  <cols>
    <col min="1" max="1" width="9.125" bestFit="1" customWidth="1"/>
    <col min="2" max="2" width="13.875" bestFit="1" customWidth="1"/>
    <col min="3" max="3" width="9.125" bestFit="1" customWidth="1"/>
    <col min="4" max="4" width="9.875" bestFit="1" customWidth="1"/>
    <col min="5" max="5" width="6.875" bestFit="1" customWidth="1"/>
    <col min="7" max="8" width="9.875" bestFit="1" customWidth="1"/>
    <col min="10" max="10" width="18.375" style="9" bestFit="1" customWidth="1"/>
  </cols>
  <sheetData>
    <row r="1" spans="1:10" ht="60" x14ac:dyDescent="0.25">
      <c r="A1" s="2" t="s">
        <v>0</v>
      </c>
      <c r="B1" s="2" t="s">
        <v>1</v>
      </c>
      <c r="C1" s="8" t="s">
        <v>37</v>
      </c>
      <c r="D1" s="11" t="s">
        <v>38</v>
      </c>
      <c r="E1" s="13" t="s">
        <v>36</v>
      </c>
      <c r="G1" s="12"/>
      <c r="H1" s="12"/>
      <c r="J1" s="15" t="s">
        <v>39</v>
      </c>
    </row>
    <row r="2" spans="1:10" x14ac:dyDescent="0.25">
      <c r="A2" s="5" t="s">
        <v>4</v>
      </c>
      <c r="B2" s="5" t="s">
        <v>5</v>
      </c>
      <c r="C2" s="7">
        <f t="shared" ref="C2:C18" ca="1" si="0">RANDBETWEEN(43800,44800)</f>
        <v>44121</v>
      </c>
      <c r="D2" s="10">
        <f ca="1">RANDBETWEEN(45292,46022)</f>
        <v>45675</v>
      </c>
      <c r="E2" s="14" t="str">
        <f ca="1">NETWORKDAYS(C2,D2,$J$2:$J$7) &amp; "-" &amp; WEEKDAY(D2,2)</f>
        <v>1107-6</v>
      </c>
      <c r="G2" s="12"/>
      <c r="H2" s="12"/>
      <c r="J2" s="16">
        <v>45496</v>
      </c>
    </row>
    <row r="3" spans="1:10" x14ac:dyDescent="0.25">
      <c r="A3" s="5" t="s">
        <v>6</v>
      </c>
      <c r="B3" s="5" t="s">
        <v>7</v>
      </c>
      <c r="C3" s="7">
        <f t="shared" ca="1" si="0"/>
        <v>44644</v>
      </c>
      <c r="D3" s="10">
        <f t="shared" ref="D3:D18" ca="1" si="1">RANDBETWEEN(45292,46022)</f>
        <v>45841</v>
      </c>
      <c r="E3" s="14" t="str">
        <f t="shared" ref="E3:E18" ca="1" si="2">NETWORKDAYS(C3,D3,$J$2:$J$7) &amp; "-" &amp; WEEKDAY(D3,2)</f>
        <v>851-4</v>
      </c>
      <c r="J3" s="16">
        <v>45638</v>
      </c>
    </row>
    <row r="4" spans="1:10" x14ac:dyDescent="0.25">
      <c r="A4" s="5" t="s">
        <v>8</v>
      </c>
      <c r="B4" s="5" t="s">
        <v>9</v>
      </c>
      <c r="C4" s="7">
        <f t="shared" ca="1" si="0"/>
        <v>44165</v>
      </c>
      <c r="D4" s="10">
        <f t="shared" ca="1" si="1"/>
        <v>45585</v>
      </c>
      <c r="E4" s="14" t="str">
        <f t="shared" ca="1" si="2"/>
        <v>1013-7</v>
      </c>
      <c r="J4" s="16">
        <v>45378</v>
      </c>
    </row>
    <row r="5" spans="1:10" x14ac:dyDescent="0.25">
      <c r="A5" s="5" t="s">
        <v>10</v>
      </c>
      <c r="B5" s="5" t="s">
        <v>11</v>
      </c>
      <c r="C5" s="7">
        <f t="shared" ca="1" si="0"/>
        <v>44669</v>
      </c>
      <c r="D5" s="10">
        <f t="shared" ca="1" si="1"/>
        <v>45314</v>
      </c>
      <c r="E5" s="14" t="str">
        <f t="shared" ca="1" si="2"/>
        <v>462-2</v>
      </c>
      <c r="J5" s="16">
        <v>45776</v>
      </c>
    </row>
    <row r="6" spans="1:10" x14ac:dyDescent="0.25">
      <c r="A6" s="5" t="s">
        <v>12</v>
      </c>
      <c r="B6" s="5" t="s">
        <v>13</v>
      </c>
      <c r="C6" s="7">
        <f t="shared" ca="1" si="0"/>
        <v>44416</v>
      </c>
      <c r="D6" s="10">
        <f t="shared" ca="1" si="1"/>
        <v>45882</v>
      </c>
      <c r="E6" s="14" t="str">
        <f t="shared" ca="1" si="2"/>
        <v>1042-3</v>
      </c>
      <c r="J6" s="16">
        <v>45842</v>
      </c>
    </row>
    <row r="7" spans="1:10" x14ac:dyDescent="0.25">
      <c r="A7" s="5" t="s">
        <v>14</v>
      </c>
      <c r="B7" s="5" t="s">
        <v>15</v>
      </c>
      <c r="C7" s="7">
        <f t="shared" ca="1" si="0"/>
        <v>44132</v>
      </c>
      <c r="D7" s="10">
        <f t="shared" ca="1" si="1"/>
        <v>45568</v>
      </c>
      <c r="E7" s="14" t="str">
        <f t="shared" ca="1" si="2"/>
        <v>1025-4</v>
      </c>
      <c r="J7" s="16">
        <v>45817</v>
      </c>
    </row>
    <row r="8" spans="1:10" x14ac:dyDescent="0.25">
      <c r="A8" s="5" t="s">
        <v>16</v>
      </c>
      <c r="B8" s="5" t="s">
        <v>17</v>
      </c>
      <c r="C8" s="7">
        <f t="shared" ca="1" si="0"/>
        <v>44569</v>
      </c>
      <c r="D8" s="10">
        <f t="shared" ca="1" si="1"/>
        <v>45946</v>
      </c>
      <c r="E8" s="14" t="str">
        <f t="shared" ca="1" si="2"/>
        <v>978-4</v>
      </c>
    </row>
    <row r="9" spans="1:10" x14ac:dyDescent="0.25">
      <c r="A9" s="5" t="s">
        <v>6</v>
      </c>
      <c r="B9" s="5" t="s">
        <v>18</v>
      </c>
      <c r="C9" s="7">
        <f t="shared" ca="1" si="0"/>
        <v>43853</v>
      </c>
      <c r="D9" s="10">
        <f t="shared" ca="1" si="1"/>
        <v>45401</v>
      </c>
      <c r="E9" s="14" t="str">
        <f t="shared" ca="1" si="2"/>
        <v>1106-5</v>
      </c>
    </row>
    <row r="10" spans="1:10" x14ac:dyDescent="0.25">
      <c r="A10" s="5" t="s">
        <v>6</v>
      </c>
      <c r="B10" s="5" t="s">
        <v>19</v>
      </c>
      <c r="C10" s="7">
        <f t="shared" ca="1" si="0"/>
        <v>44447</v>
      </c>
      <c r="D10" s="10">
        <f t="shared" ca="1" si="1"/>
        <v>45999</v>
      </c>
      <c r="E10" s="14" t="str">
        <f t="shared" ca="1" si="2"/>
        <v>1103-1</v>
      </c>
    </row>
    <row r="11" spans="1:10" x14ac:dyDescent="0.25">
      <c r="A11" s="5" t="s">
        <v>20</v>
      </c>
      <c r="B11" s="5" t="s">
        <v>21</v>
      </c>
      <c r="C11" s="7">
        <f t="shared" ca="1" si="0"/>
        <v>44141</v>
      </c>
      <c r="D11" s="10">
        <f t="shared" ca="1" si="1"/>
        <v>45421</v>
      </c>
      <c r="E11" s="14" t="str">
        <f t="shared" ca="1" si="2"/>
        <v>914-4</v>
      </c>
    </row>
    <row r="12" spans="1:10" x14ac:dyDescent="0.25">
      <c r="A12" s="5" t="s">
        <v>22</v>
      </c>
      <c r="B12" s="5" t="s">
        <v>23</v>
      </c>
      <c r="C12" s="7">
        <f t="shared" ca="1" si="0"/>
        <v>44137</v>
      </c>
      <c r="D12" s="10">
        <f t="shared" ca="1" si="1"/>
        <v>45966</v>
      </c>
      <c r="E12" s="14" t="str">
        <f t="shared" ca="1" si="2"/>
        <v>1302-3</v>
      </c>
    </row>
    <row r="13" spans="1:10" x14ac:dyDescent="0.25">
      <c r="A13" s="5" t="s">
        <v>24</v>
      </c>
      <c r="B13" s="5" t="s">
        <v>25</v>
      </c>
      <c r="C13" s="7">
        <f t="shared" ca="1" si="0"/>
        <v>44736</v>
      </c>
      <c r="D13" s="10">
        <f t="shared" ca="1" si="1"/>
        <v>45751</v>
      </c>
      <c r="E13" s="14" t="str">
        <f t="shared" ca="1" si="2"/>
        <v>723-5</v>
      </c>
    </row>
    <row r="14" spans="1:10" x14ac:dyDescent="0.25">
      <c r="A14" s="5" t="s">
        <v>26</v>
      </c>
      <c r="B14" s="5" t="s">
        <v>27</v>
      </c>
      <c r="C14" s="7">
        <f t="shared" ca="1" si="0"/>
        <v>44710</v>
      </c>
      <c r="D14" s="10">
        <f t="shared" ca="1" si="1"/>
        <v>45760</v>
      </c>
      <c r="E14" s="14" t="str">
        <f t="shared" ca="1" si="2"/>
        <v>747-7</v>
      </c>
    </row>
    <row r="15" spans="1:10" x14ac:dyDescent="0.25">
      <c r="A15" s="5" t="s">
        <v>6</v>
      </c>
      <c r="B15" s="5" t="s">
        <v>28</v>
      </c>
      <c r="C15" s="7">
        <f t="shared" ca="1" si="0"/>
        <v>44164</v>
      </c>
      <c r="D15" s="10">
        <f t="shared" ca="1" si="1"/>
        <v>45856</v>
      </c>
      <c r="E15" s="14" t="str">
        <f t="shared" ca="1" si="2"/>
        <v>1204-5</v>
      </c>
    </row>
    <row r="16" spans="1:10" x14ac:dyDescent="0.25">
      <c r="A16" s="5" t="s">
        <v>29</v>
      </c>
      <c r="B16" s="5" t="s">
        <v>30</v>
      </c>
      <c r="C16" s="7">
        <f t="shared" ca="1" si="0"/>
        <v>44431</v>
      </c>
      <c r="D16" s="10">
        <f t="shared" ca="1" si="1"/>
        <v>45512</v>
      </c>
      <c r="E16" s="14" t="str">
        <f t="shared" ca="1" si="2"/>
        <v>772-4</v>
      </c>
    </row>
    <row r="17" spans="1:5" x14ac:dyDescent="0.25">
      <c r="A17" s="5" t="s">
        <v>31</v>
      </c>
      <c r="B17" s="5" t="s">
        <v>32</v>
      </c>
      <c r="C17" s="7">
        <f t="shared" ca="1" si="0"/>
        <v>44347</v>
      </c>
      <c r="D17" s="10">
        <f t="shared" ca="1" si="1"/>
        <v>45556</v>
      </c>
      <c r="E17" s="14" t="str">
        <f t="shared" ca="1" si="2"/>
        <v>863-6</v>
      </c>
    </row>
    <row r="18" spans="1:5" x14ac:dyDescent="0.25">
      <c r="A18" s="5" t="s">
        <v>33</v>
      </c>
      <c r="B18" s="5" t="s">
        <v>34</v>
      </c>
      <c r="C18" s="7">
        <f t="shared" ca="1" si="0"/>
        <v>44200</v>
      </c>
      <c r="D18" s="10">
        <f t="shared" ca="1" si="1"/>
        <v>45928</v>
      </c>
      <c r="E18" s="14" t="str">
        <f t="shared" ca="1" si="2"/>
        <v>1229-7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B718-F2ED-4AF7-9C1F-65754BD1FE4A}">
  <dimension ref="A1:H30"/>
  <sheetViews>
    <sheetView workbookViewId="0">
      <selection activeCell="E2" sqref="E2"/>
    </sheetView>
  </sheetViews>
  <sheetFormatPr defaultRowHeight="15" x14ac:dyDescent="0.25"/>
  <cols>
    <col min="1" max="1" width="18.25" bestFit="1" customWidth="1"/>
    <col min="2" max="2" width="11.5" bestFit="1" customWidth="1"/>
    <col min="3" max="3" width="8.5" bestFit="1" customWidth="1"/>
    <col min="4" max="4" width="8.875" bestFit="1" customWidth="1"/>
    <col min="8" max="8" width="12.25" bestFit="1" customWidth="1"/>
  </cols>
  <sheetData>
    <row r="1" spans="1:8" ht="48" x14ac:dyDescent="0.25">
      <c r="A1" s="17" t="s">
        <v>40</v>
      </c>
      <c r="B1" s="17" t="s">
        <v>72</v>
      </c>
      <c r="C1" s="20" t="s">
        <v>74</v>
      </c>
      <c r="D1" s="20" t="s">
        <v>75</v>
      </c>
      <c r="E1" s="20" t="s">
        <v>80</v>
      </c>
      <c r="H1" s="23" t="s">
        <v>81</v>
      </c>
    </row>
    <row r="2" spans="1:8" x14ac:dyDescent="0.25">
      <c r="A2" s="18" t="s">
        <v>41</v>
      </c>
      <c r="B2" s="19">
        <f ca="1">RANDBETWEEN(8500, 20000)</f>
        <v>19318</v>
      </c>
      <c r="C2" s="18">
        <v>32</v>
      </c>
      <c r="D2" s="21" t="s">
        <v>76</v>
      </c>
      <c r="E2" s="22">
        <f ca="1">$H$2 + IF(AND(B2 &gt; 10000, C2 &gt; 25, D2 = "Standart"), B2 * 5%, 0)</f>
        <v>4965.8999999999996</v>
      </c>
      <c r="H2" s="24">
        <v>4000</v>
      </c>
    </row>
    <row r="3" spans="1:8" x14ac:dyDescent="0.25">
      <c r="A3" s="18" t="s">
        <v>42</v>
      </c>
      <c r="B3" s="19">
        <f t="shared" ref="B3:B30" ca="1" si="0">RANDBETWEEN(8500, 20000)</f>
        <v>12387</v>
      </c>
      <c r="C3" s="18">
        <v>33</v>
      </c>
      <c r="D3" s="21" t="s">
        <v>76</v>
      </c>
      <c r="E3" s="22">
        <f t="shared" ref="E3:E30" ca="1" si="1">$H$2 + IF(AND(B3 &gt; 10000, C3 &gt; 25, D3 = "Standart"), B3 * 5%, 0)</f>
        <v>4619.3500000000004</v>
      </c>
    </row>
    <row r="4" spans="1:8" x14ac:dyDescent="0.25">
      <c r="A4" s="18" t="s">
        <v>43</v>
      </c>
      <c r="B4" s="19">
        <f t="shared" ca="1" si="0"/>
        <v>9793</v>
      </c>
      <c r="C4" s="18">
        <v>19</v>
      </c>
      <c r="D4" s="21" t="s">
        <v>77</v>
      </c>
      <c r="E4" s="22">
        <f t="shared" ca="1" si="1"/>
        <v>4000</v>
      </c>
    </row>
    <row r="5" spans="1:8" x14ac:dyDescent="0.25">
      <c r="A5" s="18" t="s">
        <v>44</v>
      </c>
      <c r="B5" s="19">
        <f t="shared" ca="1" si="0"/>
        <v>10986</v>
      </c>
      <c r="C5" s="18">
        <v>24</v>
      </c>
      <c r="D5" s="21" t="s">
        <v>76</v>
      </c>
      <c r="E5" s="22">
        <f t="shared" ca="1" si="1"/>
        <v>4000</v>
      </c>
    </row>
    <row r="6" spans="1:8" x14ac:dyDescent="0.25">
      <c r="A6" s="18" t="s">
        <v>45</v>
      </c>
      <c r="B6" s="19">
        <f t="shared" ca="1" si="0"/>
        <v>10418</v>
      </c>
      <c r="C6" s="18">
        <v>25</v>
      </c>
      <c r="D6" s="21" t="s">
        <v>78</v>
      </c>
      <c r="E6" s="22">
        <f t="shared" ca="1" si="1"/>
        <v>4000</v>
      </c>
    </row>
    <row r="7" spans="1:8" x14ac:dyDescent="0.25">
      <c r="A7" s="18" t="s">
        <v>46</v>
      </c>
      <c r="B7" s="19">
        <f t="shared" ca="1" si="0"/>
        <v>18927</v>
      </c>
      <c r="C7" s="18">
        <v>21</v>
      </c>
      <c r="D7" s="21" t="s">
        <v>77</v>
      </c>
      <c r="E7" s="22">
        <f t="shared" ca="1" si="1"/>
        <v>4000</v>
      </c>
    </row>
    <row r="8" spans="1:8" x14ac:dyDescent="0.25">
      <c r="A8" s="18" t="s">
        <v>47</v>
      </c>
      <c r="B8" s="19">
        <f t="shared" ca="1" si="0"/>
        <v>8622</v>
      </c>
      <c r="C8" s="18">
        <v>38</v>
      </c>
      <c r="D8" s="21" t="s">
        <v>77</v>
      </c>
      <c r="E8" s="22">
        <f t="shared" ca="1" si="1"/>
        <v>4000</v>
      </c>
    </row>
    <row r="9" spans="1:8" x14ac:dyDescent="0.25">
      <c r="A9" s="18" t="s">
        <v>48</v>
      </c>
      <c r="B9" s="19">
        <f t="shared" ca="1" si="0"/>
        <v>16812</v>
      </c>
      <c r="C9" s="18">
        <v>41</v>
      </c>
      <c r="D9" s="21" t="s">
        <v>76</v>
      </c>
      <c r="E9" s="22">
        <f t="shared" ca="1" si="1"/>
        <v>4840.6000000000004</v>
      </c>
    </row>
    <row r="10" spans="1:8" x14ac:dyDescent="0.25">
      <c r="A10" s="18" t="s">
        <v>49</v>
      </c>
      <c r="B10" s="19">
        <f t="shared" ca="1" si="0"/>
        <v>10435</v>
      </c>
      <c r="C10" s="18">
        <v>31</v>
      </c>
      <c r="D10" s="21" t="s">
        <v>78</v>
      </c>
      <c r="E10" s="22">
        <f t="shared" ca="1" si="1"/>
        <v>4000</v>
      </c>
    </row>
    <row r="11" spans="1:8" x14ac:dyDescent="0.25">
      <c r="A11" s="18" t="s">
        <v>50</v>
      </c>
      <c r="B11" s="19">
        <f t="shared" ca="1" si="0"/>
        <v>16130</v>
      </c>
      <c r="C11" s="18">
        <v>40</v>
      </c>
      <c r="D11" s="21" t="s">
        <v>79</v>
      </c>
      <c r="E11" s="22">
        <f t="shared" ca="1" si="1"/>
        <v>4000</v>
      </c>
    </row>
    <row r="12" spans="1:8" x14ac:dyDescent="0.25">
      <c r="A12" s="18" t="s">
        <v>51</v>
      </c>
      <c r="B12" s="19">
        <f t="shared" ca="1" si="0"/>
        <v>19688</v>
      </c>
      <c r="C12" s="18">
        <v>62</v>
      </c>
      <c r="D12" s="21" t="s">
        <v>79</v>
      </c>
      <c r="E12" s="22">
        <f t="shared" ca="1" si="1"/>
        <v>4000</v>
      </c>
    </row>
    <row r="13" spans="1:8" x14ac:dyDescent="0.25">
      <c r="A13" s="18" t="s">
        <v>52</v>
      </c>
      <c r="B13" s="19">
        <f t="shared" ca="1" si="0"/>
        <v>9328</v>
      </c>
      <c r="C13" s="18">
        <v>19</v>
      </c>
      <c r="D13" s="21" t="s">
        <v>78</v>
      </c>
      <c r="E13" s="22">
        <f t="shared" ca="1" si="1"/>
        <v>4000</v>
      </c>
    </row>
    <row r="14" spans="1:8" x14ac:dyDescent="0.25">
      <c r="A14" s="18" t="s">
        <v>53</v>
      </c>
      <c r="B14" s="19">
        <f t="shared" ca="1" si="0"/>
        <v>11759</v>
      </c>
      <c r="C14" s="18">
        <v>62</v>
      </c>
      <c r="D14" s="21" t="s">
        <v>76</v>
      </c>
      <c r="E14" s="22">
        <f t="shared" ca="1" si="1"/>
        <v>4587.95</v>
      </c>
    </row>
    <row r="15" spans="1:8" x14ac:dyDescent="0.25">
      <c r="A15" s="18" t="s">
        <v>54</v>
      </c>
      <c r="B15" s="19">
        <f t="shared" ca="1" si="0"/>
        <v>19252</v>
      </c>
      <c r="C15" s="18">
        <v>41</v>
      </c>
      <c r="D15" s="21" t="s">
        <v>76</v>
      </c>
      <c r="E15" s="22">
        <f t="shared" ca="1" si="1"/>
        <v>4962.6000000000004</v>
      </c>
    </row>
    <row r="16" spans="1:8" x14ac:dyDescent="0.25">
      <c r="A16" s="18" t="s">
        <v>55</v>
      </c>
      <c r="B16" s="19">
        <f t="shared" ca="1" si="0"/>
        <v>15569</v>
      </c>
      <c r="C16" s="18">
        <v>22</v>
      </c>
      <c r="D16" s="21" t="s">
        <v>79</v>
      </c>
      <c r="E16" s="22">
        <f t="shared" ca="1" si="1"/>
        <v>4000</v>
      </c>
    </row>
    <row r="17" spans="1:5" x14ac:dyDescent="0.25">
      <c r="A17" s="18" t="s">
        <v>56</v>
      </c>
      <c r="B17" s="19">
        <f t="shared" ca="1" si="0"/>
        <v>15608</v>
      </c>
      <c r="C17" s="18">
        <v>38</v>
      </c>
      <c r="D17" s="21" t="s">
        <v>76</v>
      </c>
      <c r="E17" s="22">
        <f t="shared" ca="1" si="1"/>
        <v>4780.3999999999996</v>
      </c>
    </row>
    <row r="18" spans="1:5" x14ac:dyDescent="0.25">
      <c r="A18" s="18" t="s">
        <v>57</v>
      </c>
      <c r="B18" s="19">
        <f t="shared" ca="1" si="0"/>
        <v>10698</v>
      </c>
      <c r="C18" s="18">
        <v>49</v>
      </c>
      <c r="D18" s="21" t="s">
        <v>77</v>
      </c>
      <c r="E18" s="22">
        <f t="shared" ca="1" si="1"/>
        <v>4000</v>
      </c>
    </row>
    <row r="19" spans="1:5" x14ac:dyDescent="0.25">
      <c r="A19" s="18" t="s">
        <v>58</v>
      </c>
      <c r="B19" s="19">
        <f t="shared" ca="1" si="0"/>
        <v>18287</v>
      </c>
      <c r="C19" s="18">
        <v>53</v>
      </c>
      <c r="D19" s="21" t="s">
        <v>78</v>
      </c>
      <c r="E19" s="22">
        <f t="shared" ca="1" si="1"/>
        <v>4000</v>
      </c>
    </row>
    <row r="20" spans="1:5" x14ac:dyDescent="0.25">
      <c r="A20" s="18" t="s">
        <v>59</v>
      </c>
      <c r="B20" s="19">
        <f t="shared" ca="1" si="0"/>
        <v>19674</v>
      </c>
      <c r="C20" s="18">
        <v>55</v>
      </c>
      <c r="D20" s="21" t="s">
        <v>78</v>
      </c>
      <c r="E20" s="22">
        <f t="shared" ca="1" si="1"/>
        <v>4000</v>
      </c>
    </row>
    <row r="21" spans="1:5" x14ac:dyDescent="0.25">
      <c r="A21" s="18" t="s">
        <v>60</v>
      </c>
      <c r="B21" s="19">
        <f t="shared" ca="1" si="0"/>
        <v>13626</v>
      </c>
      <c r="C21" s="18">
        <v>41</v>
      </c>
      <c r="D21" s="21" t="s">
        <v>79</v>
      </c>
      <c r="E21" s="22">
        <f t="shared" ca="1" si="1"/>
        <v>4000</v>
      </c>
    </row>
    <row r="22" spans="1:5" x14ac:dyDescent="0.25">
      <c r="A22" s="18" t="s">
        <v>61</v>
      </c>
      <c r="B22" s="19">
        <f t="shared" ca="1" si="0"/>
        <v>14494</v>
      </c>
      <c r="C22" s="18">
        <v>49</v>
      </c>
      <c r="D22" s="21" t="s">
        <v>76</v>
      </c>
      <c r="E22" s="22">
        <f t="shared" ca="1" si="1"/>
        <v>4724.7</v>
      </c>
    </row>
    <row r="23" spans="1:5" x14ac:dyDescent="0.25">
      <c r="A23" s="18" t="s">
        <v>62</v>
      </c>
      <c r="B23" s="19">
        <f t="shared" ca="1" si="0"/>
        <v>13211</v>
      </c>
      <c r="C23" s="18">
        <v>20</v>
      </c>
      <c r="D23" s="21" t="s">
        <v>77</v>
      </c>
      <c r="E23" s="22">
        <f t="shared" ca="1" si="1"/>
        <v>4000</v>
      </c>
    </row>
    <row r="24" spans="1:5" x14ac:dyDescent="0.25">
      <c r="A24" s="18" t="s">
        <v>63</v>
      </c>
      <c r="B24" s="19">
        <f t="shared" ca="1" si="0"/>
        <v>14494</v>
      </c>
      <c r="C24" s="18">
        <v>50</v>
      </c>
      <c r="D24" s="21" t="s">
        <v>76</v>
      </c>
      <c r="E24" s="22">
        <f t="shared" ca="1" si="1"/>
        <v>4724.7</v>
      </c>
    </row>
    <row r="25" spans="1:5" x14ac:dyDescent="0.25">
      <c r="A25" s="18" t="s">
        <v>64</v>
      </c>
      <c r="B25" s="19">
        <f t="shared" ca="1" si="0"/>
        <v>12486</v>
      </c>
      <c r="C25" s="18">
        <v>55</v>
      </c>
      <c r="D25" s="21" t="s">
        <v>77</v>
      </c>
      <c r="E25" s="22">
        <f t="shared" ca="1" si="1"/>
        <v>4000</v>
      </c>
    </row>
    <row r="26" spans="1:5" x14ac:dyDescent="0.25">
      <c r="A26" s="18" t="s">
        <v>65</v>
      </c>
      <c r="B26" s="19">
        <f t="shared" ca="1" si="0"/>
        <v>19087</v>
      </c>
      <c r="C26" s="18">
        <v>29</v>
      </c>
      <c r="D26" s="21" t="s">
        <v>78</v>
      </c>
      <c r="E26" s="22">
        <f t="shared" ca="1" si="1"/>
        <v>4000</v>
      </c>
    </row>
    <row r="27" spans="1:5" x14ac:dyDescent="0.25">
      <c r="A27" s="18" t="s">
        <v>66</v>
      </c>
      <c r="B27" s="19">
        <f t="shared" ca="1" si="0"/>
        <v>18363</v>
      </c>
      <c r="C27" s="18">
        <v>41</v>
      </c>
      <c r="D27" s="21" t="s">
        <v>79</v>
      </c>
      <c r="E27" s="22">
        <f t="shared" ca="1" si="1"/>
        <v>4000</v>
      </c>
    </row>
    <row r="28" spans="1:5" x14ac:dyDescent="0.25">
      <c r="A28" s="18" t="s">
        <v>67</v>
      </c>
      <c r="B28" s="19">
        <f t="shared" ca="1" si="0"/>
        <v>19568</v>
      </c>
      <c r="C28" s="18">
        <v>63</v>
      </c>
      <c r="D28" s="21" t="s">
        <v>77</v>
      </c>
      <c r="E28" s="22">
        <f t="shared" ca="1" si="1"/>
        <v>4000</v>
      </c>
    </row>
    <row r="29" spans="1:5" x14ac:dyDescent="0.25">
      <c r="A29" s="18" t="s">
        <v>68</v>
      </c>
      <c r="B29" s="19">
        <f t="shared" ca="1" si="0"/>
        <v>17705</v>
      </c>
      <c r="C29" s="18">
        <v>23</v>
      </c>
      <c r="D29" s="21" t="s">
        <v>79</v>
      </c>
      <c r="E29" s="22">
        <f t="shared" ca="1" si="1"/>
        <v>4000</v>
      </c>
    </row>
    <row r="30" spans="1:5" x14ac:dyDescent="0.25">
      <c r="A30" s="18" t="s">
        <v>69</v>
      </c>
      <c r="B30" s="19">
        <f t="shared" ca="1" si="0"/>
        <v>10888</v>
      </c>
      <c r="C30" s="18">
        <v>20</v>
      </c>
      <c r="D30" s="21" t="s">
        <v>79</v>
      </c>
      <c r="E30" s="22">
        <f t="shared" ca="1" si="1"/>
        <v>4000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4428-255D-4CE9-845D-8D2A91128A54}">
  <dimension ref="A1:G21"/>
  <sheetViews>
    <sheetView workbookViewId="0">
      <selection activeCell="G1" sqref="G1"/>
    </sheetView>
  </sheetViews>
  <sheetFormatPr defaultRowHeight="15" x14ac:dyDescent="0.25"/>
  <cols>
    <col min="1" max="1" width="20.5" bestFit="1" customWidth="1"/>
    <col min="2" max="2" width="14.875" bestFit="1" customWidth="1"/>
    <col min="3" max="3" width="12.375" bestFit="1" customWidth="1"/>
    <col min="4" max="4" width="11.125" bestFit="1" customWidth="1"/>
    <col min="7" max="7" width="20.375" bestFit="1" customWidth="1"/>
  </cols>
  <sheetData>
    <row r="1" spans="1:7" x14ac:dyDescent="0.25">
      <c r="A1" s="25" t="s">
        <v>82</v>
      </c>
      <c r="B1" s="25" t="s">
        <v>88</v>
      </c>
      <c r="C1" s="25" t="s">
        <v>89</v>
      </c>
      <c r="D1" s="25" t="s">
        <v>97</v>
      </c>
      <c r="G1" s="39" t="s">
        <v>97</v>
      </c>
    </row>
    <row r="2" spans="1:7" x14ac:dyDescent="0.25">
      <c r="A2" s="26" t="s">
        <v>83</v>
      </c>
      <c r="B2" s="27">
        <v>2223</v>
      </c>
      <c r="C2" s="26" t="s">
        <v>90</v>
      </c>
      <c r="D2" s="28">
        <v>1</v>
      </c>
      <c r="G2" s="40" t="s">
        <v>105</v>
      </c>
    </row>
    <row r="3" spans="1:7" x14ac:dyDescent="0.25">
      <c r="A3" s="26" t="s">
        <v>84</v>
      </c>
      <c r="B3" s="27">
        <v>1328</v>
      </c>
      <c r="C3" s="26" t="s">
        <v>91</v>
      </c>
      <c r="D3" s="28">
        <v>4</v>
      </c>
      <c r="G3" s="29">
        <f>_xlfn.IFNA(INDEX(A2:D18, MATCH(G2,A2:A18,0), MATCH(G1,A1:D1,0)), "მონაცემი არ მოიძებნა")</f>
        <v>8</v>
      </c>
    </row>
    <row r="4" spans="1:7" x14ac:dyDescent="0.25">
      <c r="A4" s="26" t="s">
        <v>85</v>
      </c>
      <c r="B4" s="27">
        <v>2305</v>
      </c>
      <c r="C4" s="26" t="s">
        <v>91</v>
      </c>
      <c r="D4" s="28">
        <v>3</v>
      </c>
    </row>
    <row r="5" spans="1:7" x14ac:dyDescent="0.25">
      <c r="A5" s="26" t="s">
        <v>86</v>
      </c>
      <c r="B5" s="27">
        <v>1995</v>
      </c>
      <c r="C5" s="26" t="s">
        <v>92</v>
      </c>
      <c r="D5" s="28">
        <v>5</v>
      </c>
    </row>
    <row r="6" spans="1:7" x14ac:dyDescent="0.25">
      <c r="A6" s="31" t="s">
        <v>87</v>
      </c>
      <c r="B6" s="30">
        <v>965</v>
      </c>
      <c r="C6" s="31" t="s">
        <v>93</v>
      </c>
      <c r="D6" s="32">
        <v>7</v>
      </c>
    </row>
    <row r="7" spans="1:7" x14ac:dyDescent="0.25">
      <c r="A7" s="36" t="s">
        <v>98</v>
      </c>
      <c r="B7" s="37">
        <v>1484</v>
      </c>
      <c r="C7" s="36" t="s">
        <v>92</v>
      </c>
      <c r="D7" s="38">
        <v>4</v>
      </c>
    </row>
    <row r="8" spans="1:7" x14ac:dyDescent="0.25">
      <c r="A8" s="36" t="s">
        <v>99</v>
      </c>
      <c r="B8" s="37">
        <v>1730</v>
      </c>
      <c r="C8" s="36" t="s">
        <v>94</v>
      </c>
      <c r="D8" s="38">
        <v>6</v>
      </c>
    </row>
    <row r="9" spans="1:7" x14ac:dyDescent="0.25">
      <c r="A9" s="36" t="s">
        <v>100</v>
      </c>
      <c r="B9" s="37">
        <v>903</v>
      </c>
      <c r="C9" s="36" t="s">
        <v>95</v>
      </c>
      <c r="D9" s="38">
        <v>1</v>
      </c>
    </row>
    <row r="10" spans="1:7" x14ac:dyDescent="0.25">
      <c r="A10" s="36" t="s">
        <v>101</v>
      </c>
      <c r="B10" s="37">
        <v>1420</v>
      </c>
      <c r="C10" s="36" t="s">
        <v>91</v>
      </c>
      <c r="D10" s="38">
        <v>4</v>
      </c>
    </row>
    <row r="11" spans="1:7" x14ac:dyDescent="0.25">
      <c r="A11" s="36" t="s">
        <v>102</v>
      </c>
      <c r="B11" s="37">
        <v>2416</v>
      </c>
      <c r="C11" s="36" t="s">
        <v>90</v>
      </c>
      <c r="D11" s="38">
        <v>4</v>
      </c>
    </row>
    <row r="12" spans="1:7" x14ac:dyDescent="0.25">
      <c r="A12" s="36" t="s">
        <v>103</v>
      </c>
      <c r="B12" s="37">
        <v>2353</v>
      </c>
      <c r="C12" s="36" t="s">
        <v>96</v>
      </c>
      <c r="D12" s="38">
        <v>4</v>
      </c>
    </row>
    <row r="13" spans="1:7" x14ac:dyDescent="0.25">
      <c r="A13" s="36" t="s">
        <v>104</v>
      </c>
      <c r="B13" s="37">
        <v>1182</v>
      </c>
      <c r="C13" s="36" t="s">
        <v>95</v>
      </c>
      <c r="D13" s="38">
        <v>7</v>
      </c>
    </row>
    <row r="14" spans="1:7" x14ac:dyDescent="0.25">
      <c r="A14" s="36" t="s">
        <v>105</v>
      </c>
      <c r="B14" s="37">
        <v>2310</v>
      </c>
      <c r="C14" s="36" t="s">
        <v>93</v>
      </c>
      <c r="D14" s="38">
        <v>8</v>
      </c>
    </row>
    <row r="15" spans="1:7" x14ac:dyDescent="0.25">
      <c r="A15" s="36" t="s">
        <v>106</v>
      </c>
      <c r="B15" s="37">
        <v>752</v>
      </c>
      <c r="C15" s="36" t="s">
        <v>90</v>
      </c>
      <c r="D15" s="38">
        <v>1</v>
      </c>
    </row>
    <row r="16" spans="1:7" x14ac:dyDescent="0.25">
      <c r="A16" s="36" t="s">
        <v>107</v>
      </c>
      <c r="B16" s="37">
        <v>2300</v>
      </c>
      <c r="C16" s="36" t="s">
        <v>92</v>
      </c>
      <c r="D16" s="38">
        <v>9</v>
      </c>
    </row>
    <row r="17" spans="1:4" x14ac:dyDescent="0.25">
      <c r="A17" s="36" t="s">
        <v>108</v>
      </c>
      <c r="B17" s="37">
        <v>1798</v>
      </c>
      <c r="C17" s="36" t="s">
        <v>90</v>
      </c>
      <c r="D17" s="38">
        <v>8</v>
      </c>
    </row>
    <row r="18" spans="1:4" x14ac:dyDescent="0.25">
      <c r="A18" s="36" t="s">
        <v>109</v>
      </c>
      <c r="B18" s="37">
        <v>2296</v>
      </c>
      <c r="C18" s="36" t="s">
        <v>91</v>
      </c>
      <c r="D18" s="38">
        <v>9</v>
      </c>
    </row>
    <row r="19" spans="1:4" x14ac:dyDescent="0.25">
      <c r="B19" s="33"/>
      <c r="C19" s="34"/>
      <c r="D19" s="35"/>
    </row>
    <row r="20" spans="1:4" x14ac:dyDescent="0.25">
      <c r="B20" s="33"/>
      <c r="C20" s="34"/>
      <c r="D20" s="35"/>
    </row>
    <row r="21" spans="1:4" x14ac:dyDescent="0.25">
      <c r="B21" s="33"/>
      <c r="C21" s="34"/>
      <c r="D21" s="35"/>
    </row>
  </sheetData>
  <dataValidations count="1">
    <dataValidation type="list" allowBlank="1" showInputMessage="1" showErrorMessage="1" sqref="G1" xr:uid="{7644622B-F097-4169-A902-90E06568DE39}">
      <formula1>$B$1:$D$1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706D-8794-41E0-B7DD-9B4736172341}">
  <dimension ref="A1:N40"/>
  <sheetViews>
    <sheetView workbookViewId="0">
      <selection activeCell="P15" sqref="P15"/>
    </sheetView>
  </sheetViews>
  <sheetFormatPr defaultRowHeight="15" x14ac:dyDescent="0.25"/>
  <cols>
    <col min="1" max="1" width="11.875" bestFit="1" customWidth="1"/>
    <col min="2" max="2" width="16.875" bestFit="1" customWidth="1"/>
    <col min="3" max="3" width="8.875" bestFit="1" customWidth="1"/>
    <col min="4" max="4" width="5.125" bestFit="1" customWidth="1"/>
    <col min="5" max="5" width="11.875" bestFit="1" customWidth="1"/>
    <col min="7" max="7" width="19" bestFit="1" customWidth="1"/>
    <col min="8" max="8" width="9.75" bestFit="1" customWidth="1"/>
    <col min="9" max="9" width="8.375" bestFit="1" customWidth="1"/>
    <col min="10" max="10" width="16.5" bestFit="1" customWidth="1"/>
    <col min="11" max="11" width="8.375" bestFit="1" customWidth="1"/>
    <col min="12" max="12" width="8.625" bestFit="1" customWidth="1"/>
    <col min="13" max="14" width="8.875" bestFit="1" customWidth="1"/>
  </cols>
  <sheetData>
    <row r="1" spans="1:14" ht="60" x14ac:dyDescent="0.25">
      <c r="A1" s="41" t="s">
        <v>0</v>
      </c>
      <c r="B1" s="41" t="s">
        <v>1</v>
      </c>
      <c r="C1" s="41" t="s">
        <v>110</v>
      </c>
      <c r="D1" s="41" t="s">
        <v>73</v>
      </c>
      <c r="E1" s="41" t="s">
        <v>111</v>
      </c>
      <c r="F1" s="41" t="s">
        <v>112</v>
      </c>
      <c r="G1" s="41" t="s">
        <v>70</v>
      </c>
      <c r="H1" s="41" t="s">
        <v>113</v>
      </c>
      <c r="I1" s="41" t="s">
        <v>114</v>
      </c>
      <c r="J1" s="41" t="s">
        <v>115</v>
      </c>
      <c r="K1" s="41" t="s">
        <v>116</v>
      </c>
      <c r="L1" s="41" t="s">
        <v>117</v>
      </c>
      <c r="M1" s="41" t="s">
        <v>118</v>
      </c>
      <c r="N1" s="41" t="s">
        <v>119</v>
      </c>
    </row>
    <row r="2" spans="1:14" x14ac:dyDescent="0.25">
      <c r="A2" s="5" t="s">
        <v>120</v>
      </c>
      <c r="B2" s="5" t="s">
        <v>121</v>
      </c>
      <c r="C2" s="42">
        <v>31443</v>
      </c>
      <c r="D2" s="5">
        <v>66</v>
      </c>
      <c r="E2" s="5" t="s">
        <v>122</v>
      </c>
      <c r="F2" s="5" t="s">
        <v>123</v>
      </c>
      <c r="G2" s="5" t="s">
        <v>124</v>
      </c>
      <c r="H2" s="5" t="s">
        <v>125</v>
      </c>
      <c r="I2" s="5">
        <v>2098</v>
      </c>
      <c r="J2" s="5" t="s">
        <v>126</v>
      </c>
      <c r="K2" s="5">
        <v>227</v>
      </c>
      <c r="L2" s="5" t="s">
        <v>127</v>
      </c>
      <c r="M2" s="42">
        <v>40837</v>
      </c>
      <c r="N2" s="42">
        <v>44405</v>
      </c>
    </row>
    <row r="3" spans="1:14" x14ac:dyDescent="0.25">
      <c r="A3" s="5" t="s">
        <v>4</v>
      </c>
      <c r="B3" s="5" t="s">
        <v>128</v>
      </c>
      <c r="C3" s="42">
        <v>35135</v>
      </c>
      <c r="D3" s="5">
        <v>54</v>
      </c>
      <c r="E3" s="5" t="s">
        <v>129</v>
      </c>
      <c r="F3" s="5" t="s">
        <v>130</v>
      </c>
      <c r="G3" s="5" t="s">
        <v>131</v>
      </c>
      <c r="H3" s="5" t="s">
        <v>125</v>
      </c>
      <c r="I3" s="5">
        <v>1942</v>
      </c>
      <c r="J3" s="5" t="s">
        <v>132</v>
      </c>
      <c r="K3" s="5">
        <v>110</v>
      </c>
      <c r="L3" s="5" t="s">
        <v>127</v>
      </c>
      <c r="M3" s="42">
        <v>42343</v>
      </c>
      <c r="N3" s="42">
        <v>44178</v>
      </c>
    </row>
    <row r="4" spans="1:14" x14ac:dyDescent="0.25">
      <c r="A4" s="5" t="s">
        <v>133</v>
      </c>
      <c r="B4" s="5" t="s">
        <v>134</v>
      </c>
      <c r="C4" s="42">
        <v>34822</v>
      </c>
      <c r="D4" s="5">
        <v>40</v>
      </c>
      <c r="E4" s="5" t="s">
        <v>135</v>
      </c>
      <c r="F4" s="5" t="s">
        <v>136</v>
      </c>
      <c r="G4" s="5" t="s">
        <v>137</v>
      </c>
      <c r="H4" s="5" t="s">
        <v>125</v>
      </c>
      <c r="I4" s="5">
        <v>1559</v>
      </c>
      <c r="J4" s="5" t="s">
        <v>138</v>
      </c>
      <c r="K4" s="5">
        <v>49</v>
      </c>
      <c r="L4" s="5" t="s">
        <v>127</v>
      </c>
      <c r="M4" s="42">
        <v>40291</v>
      </c>
      <c r="N4" s="42">
        <v>43880</v>
      </c>
    </row>
    <row r="5" spans="1:14" x14ac:dyDescent="0.25">
      <c r="A5" s="5" t="s">
        <v>139</v>
      </c>
      <c r="B5" s="5" t="s">
        <v>140</v>
      </c>
      <c r="C5" s="42">
        <v>30257</v>
      </c>
      <c r="D5" s="5">
        <v>46</v>
      </c>
      <c r="E5" s="5" t="s">
        <v>129</v>
      </c>
      <c r="F5" s="5" t="s">
        <v>141</v>
      </c>
      <c r="G5" s="5" t="s">
        <v>142</v>
      </c>
      <c r="H5" s="5" t="s">
        <v>125</v>
      </c>
      <c r="I5" s="5">
        <v>2257</v>
      </c>
      <c r="J5" s="5" t="s">
        <v>143</v>
      </c>
      <c r="K5" s="5">
        <v>288</v>
      </c>
      <c r="L5" s="5" t="s">
        <v>127</v>
      </c>
      <c r="M5" s="42">
        <v>40326</v>
      </c>
      <c r="N5" s="42">
        <v>43520</v>
      </c>
    </row>
    <row r="6" spans="1:14" x14ac:dyDescent="0.25">
      <c r="A6" s="5" t="s">
        <v>14</v>
      </c>
      <c r="B6" s="5" t="s">
        <v>144</v>
      </c>
      <c r="C6" s="42">
        <v>35835</v>
      </c>
      <c r="D6" s="5">
        <v>46</v>
      </c>
      <c r="E6" s="5" t="s">
        <v>145</v>
      </c>
      <c r="F6" s="5" t="s">
        <v>146</v>
      </c>
      <c r="G6" s="5" t="s">
        <v>147</v>
      </c>
      <c r="H6" s="5" t="s">
        <v>125</v>
      </c>
      <c r="I6" s="5">
        <v>2715</v>
      </c>
      <c r="J6" s="5" t="s">
        <v>148</v>
      </c>
      <c r="K6" s="5">
        <v>39</v>
      </c>
      <c r="L6" s="5" t="s">
        <v>127</v>
      </c>
      <c r="M6" s="42">
        <v>44523</v>
      </c>
      <c r="N6" s="42">
        <v>44783</v>
      </c>
    </row>
    <row r="7" spans="1:14" x14ac:dyDescent="0.25">
      <c r="A7" s="5" t="s">
        <v>6</v>
      </c>
      <c r="B7" s="5" t="s">
        <v>149</v>
      </c>
      <c r="C7" s="42">
        <v>36415</v>
      </c>
      <c r="D7" s="5">
        <v>25</v>
      </c>
      <c r="E7" s="5" t="s">
        <v>150</v>
      </c>
      <c r="F7" s="5" t="s">
        <v>151</v>
      </c>
      <c r="G7" s="5" t="s">
        <v>152</v>
      </c>
      <c r="H7" s="5" t="s">
        <v>125</v>
      </c>
      <c r="I7" s="5">
        <v>3057</v>
      </c>
      <c r="J7" s="5" t="s">
        <v>148</v>
      </c>
      <c r="K7" s="5">
        <v>93</v>
      </c>
      <c r="L7" s="5" t="s">
        <v>127</v>
      </c>
      <c r="M7" s="42">
        <v>39075</v>
      </c>
      <c r="N7" s="42">
        <v>43631</v>
      </c>
    </row>
    <row r="8" spans="1:14" x14ac:dyDescent="0.25">
      <c r="A8" s="5" t="s">
        <v>6</v>
      </c>
      <c r="B8" s="5" t="s">
        <v>140</v>
      </c>
      <c r="C8" s="42">
        <v>39896</v>
      </c>
      <c r="D8" s="5">
        <v>60</v>
      </c>
      <c r="E8" s="5" t="s">
        <v>122</v>
      </c>
      <c r="F8" s="5" t="s">
        <v>123</v>
      </c>
      <c r="G8" s="5" t="s">
        <v>142</v>
      </c>
      <c r="H8" s="5" t="s">
        <v>153</v>
      </c>
      <c r="I8" s="5">
        <v>972</v>
      </c>
      <c r="J8" s="5" t="s">
        <v>154</v>
      </c>
      <c r="K8" s="5">
        <v>101</v>
      </c>
      <c r="L8" s="5" t="s">
        <v>155</v>
      </c>
      <c r="M8" s="42">
        <v>41942</v>
      </c>
      <c r="N8" s="42">
        <v>43502</v>
      </c>
    </row>
    <row r="9" spans="1:14" x14ac:dyDescent="0.25">
      <c r="A9" s="5" t="s">
        <v>156</v>
      </c>
      <c r="B9" s="5" t="s">
        <v>157</v>
      </c>
      <c r="C9" s="42">
        <v>30384</v>
      </c>
      <c r="D9" s="5">
        <v>50</v>
      </c>
      <c r="E9" s="5" t="s">
        <v>158</v>
      </c>
      <c r="F9" s="5" t="s">
        <v>159</v>
      </c>
      <c r="G9" s="5" t="s">
        <v>160</v>
      </c>
      <c r="H9" s="5" t="s">
        <v>125</v>
      </c>
      <c r="I9" s="5">
        <v>3835</v>
      </c>
      <c r="J9" s="5" t="s">
        <v>148</v>
      </c>
      <c r="K9" s="5">
        <v>59</v>
      </c>
      <c r="L9" s="5" t="s">
        <v>127</v>
      </c>
      <c r="M9" s="42">
        <v>42731</v>
      </c>
      <c r="N9" s="42">
        <v>44311</v>
      </c>
    </row>
    <row r="10" spans="1:14" x14ac:dyDescent="0.25">
      <c r="A10" s="5" t="s">
        <v>4</v>
      </c>
      <c r="B10" s="5" t="s">
        <v>161</v>
      </c>
      <c r="C10" s="42">
        <v>32969</v>
      </c>
      <c r="D10" s="5">
        <v>42</v>
      </c>
      <c r="E10" s="5" t="s">
        <v>162</v>
      </c>
      <c r="F10" s="5" t="s">
        <v>159</v>
      </c>
      <c r="G10" s="5" t="s">
        <v>152</v>
      </c>
      <c r="H10" s="5" t="s">
        <v>125</v>
      </c>
      <c r="I10" s="5">
        <v>3843</v>
      </c>
      <c r="J10" s="5" t="s">
        <v>132</v>
      </c>
      <c r="K10" s="5">
        <v>287</v>
      </c>
      <c r="L10" s="5" t="s">
        <v>127</v>
      </c>
      <c r="M10" s="42">
        <v>41038</v>
      </c>
      <c r="N10" s="42">
        <v>43933</v>
      </c>
    </row>
    <row r="11" spans="1:14" x14ac:dyDescent="0.25">
      <c r="A11" s="5" t="s">
        <v>133</v>
      </c>
      <c r="B11" s="5" t="s">
        <v>163</v>
      </c>
      <c r="C11" s="42">
        <v>38976</v>
      </c>
      <c r="D11" s="5">
        <v>25</v>
      </c>
      <c r="E11" s="5" t="s">
        <v>164</v>
      </c>
      <c r="F11" s="5" t="s">
        <v>165</v>
      </c>
      <c r="G11" s="5" t="s">
        <v>131</v>
      </c>
      <c r="H11" s="5" t="s">
        <v>153</v>
      </c>
      <c r="I11" s="5">
        <v>2423</v>
      </c>
      <c r="J11" s="5" t="s">
        <v>143</v>
      </c>
      <c r="K11" s="5">
        <v>212</v>
      </c>
      <c r="L11" s="5" t="s">
        <v>127</v>
      </c>
      <c r="M11" s="42">
        <v>42475</v>
      </c>
      <c r="N11" s="42">
        <v>43761</v>
      </c>
    </row>
    <row r="12" spans="1:14" x14ac:dyDescent="0.25">
      <c r="A12" s="5" t="s">
        <v>166</v>
      </c>
      <c r="B12" s="5" t="s">
        <v>167</v>
      </c>
      <c r="C12" s="42">
        <v>35424</v>
      </c>
      <c r="D12" s="5">
        <v>54</v>
      </c>
      <c r="E12" s="5" t="s">
        <v>168</v>
      </c>
      <c r="F12" s="5" t="s">
        <v>169</v>
      </c>
      <c r="G12" s="5" t="s">
        <v>170</v>
      </c>
      <c r="H12" s="5" t="s">
        <v>125</v>
      </c>
      <c r="I12" s="5">
        <v>1484</v>
      </c>
      <c r="J12" s="5" t="s">
        <v>148</v>
      </c>
      <c r="K12" s="5">
        <v>284</v>
      </c>
      <c r="L12" s="5" t="s">
        <v>155</v>
      </c>
      <c r="M12" s="42">
        <v>42692</v>
      </c>
      <c r="N12" s="42">
        <v>43427</v>
      </c>
    </row>
    <row r="13" spans="1:14" x14ac:dyDescent="0.25">
      <c r="A13" s="5" t="s">
        <v>14</v>
      </c>
      <c r="B13" s="5" t="s">
        <v>171</v>
      </c>
      <c r="C13" s="42">
        <v>38000</v>
      </c>
      <c r="D13" s="5">
        <v>43</v>
      </c>
      <c r="E13" s="5" t="s">
        <v>164</v>
      </c>
      <c r="F13" s="5" t="s">
        <v>169</v>
      </c>
      <c r="G13" s="5" t="s">
        <v>147</v>
      </c>
      <c r="H13" s="5" t="s">
        <v>125</v>
      </c>
      <c r="I13" s="5">
        <v>4309</v>
      </c>
      <c r="J13" s="5" t="s">
        <v>126</v>
      </c>
      <c r="K13" s="5">
        <v>283</v>
      </c>
      <c r="L13" s="5" t="s">
        <v>155</v>
      </c>
      <c r="M13" s="42">
        <v>40248</v>
      </c>
      <c r="N13" s="42">
        <v>44035</v>
      </c>
    </row>
    <row r="14" spans="1:14" x14ac:dyDescent="0.25">
      <c r="A14" s="5" t="s">
        <v>120</v>
      </c>
      <c r="B14" s="5" t="s">
        <v>167</v>
      </c>
      <c r="C14" s="42">
        <v>36800</v>
      </c>
      <c r="D14" s="5">
        <v>65</v>
      </c>
      <c r="E14" s="5" t="s">
        <v>168</v>
      </c>
      <c r="F14" s="5" t="s">
        <v>172</v>
      </c>
      <c r="G14" s="5" t="s">
        <v>173</v>
      </c>
      <c r="H14" s="5" t="s">
        <v>153</v>
      </c>
      <c r="I14" s="5">
        <v>998</v>
      </c>
      <c r="J14" s="5" t="s">
        <v>154</v>
      </c>
      <c r="K14" s="5">
        <v>26</v>
      </c>
      <c r="L14" s="5" t="s">
        <v>127</v>
      </c>
      <c r="M14" s="42">
        <v>37836</v>
      </c>
      <c r="N14" s="42">
        <v>44017</v>
      </c>
    </row>
    <row r="15" spans="1:14" x14ac:dyDescent="0.25">
      <c r="A15" s="5" t="s">
        <v>139</v>
      </c>
      <c r="B15" s="5" t="s">
        <v>19</v>
      </c>
      <c r="C15" s="42">
        <v>32353</v>
      </c>
      <c r="D15" s="5">
        <v>51</v>
      </c>
      <c r="E15" s="5" t="s">
        <v>129</v>
      </c>
      <c r="F15" s="5" t="s">
        <v>159</v>
      </c>
      <c r="G15" s="5" t="s">
        <v>174</v>
      </c>
      <c r="H15" s="5" t="s">
        <v>125</v>
      </c>
      <c r="I15" s="5">
        <v>2097</v>
      </c>
      <c r="J15" s="5" t="s">
        <v>138</v>
      </c>
      <c r="K15" s="5">
        <v>223</v>
      </c>
      <c r="L15" s="5" t="s">
        <v>155</v>
      </c>
      <c r="M15" s="42">
        <v>39743</v>
      </c>
      <c r="N15" s="42">
        <v>44447</v>
      </c>
    </row>
    <row r="16" spans="1:14" x14ac:dyDescent="0.25">
      <c r="A16" s="5" t="s">
        <v>175</v>
      </c>
      <c r="B16" s="5" t="s">
        <v>19</v>
      </c>
      <c r="C16" s="42">
        <v>35963</v>
      </c>
      <c r="D16" s="5">
        <v>20</v>
      </c>
      <c r="E16" s="5" t="s">
        <v>176</v>
      </c>
      <c r="F16" s="5" t="s">
        <v>159</v>
      </c>
      <c r="G16" s="5" t="s">
        <v>177</v>
      </c>
      <c r="H16" s="5" t="s">
        <v>125</v>
      </c>
      <c r="I16" s="5">
        <v>1345</v>
      </c>
      <c r="J16" s="5" t="s">
        <v>154</v>
      </c>
      <c r="K16" s="5">
        <v>98</v>
      </c>
      <c r="L16" s="5" t="s">
        <v>127</v>
      </c>
      <c r="M16" s="42">
        <v>39044</v>
      </c>
      <c r="N16" s="42">
        <v>44524</v>
      </c>
    </row>
    <row r="17" spans="1:14" x14ac:dyDescent="0.25">
      <c r="A17" s="5" t="s">
        <v>178</v>
      </c>
      <c r="B17" s="5" t="s">
        <v>179</v>
      </c>
      <c r="C17" s="42">
        <v>38636</v>
      </c>
      <c r="D17" s="5">
        <v>76</v>
      </c>
      <c r="E17" s="5" t="s">
        <v>129</v>
      </c>
      <c r="F17" s="5" t="s">
        <v>180</v>
      </c>
      <c r="G17" s="5" t="s">
        <v>124</v>
      </c>
      <c r="H17" s="5" t="s">
        <v>125</v>
      </c>
      <c r="I17" s="5">
        <v>2693</v>
      </c>
      <c r="J17" s="5" t="s">
        <v>143</v>
      </c>
      <c r="K17" s="5">
        <v>221</v>
      </c>
      <c r="L17" s="5" t="s">
        <v>127</v>
      </c>
      <c r="M17" s="42">
        <v>40384</v>
      </c>
      <c r="N17" s="42">
        <v>43309</v>
      </c>
    </row>
    <row r="18" spans="1:14" x14ac:dyDescent="0.25">
      <c r="A18" s="5" t="s">
        <v>6</v>
      </c>
      <c r="B18" s="5" t="s">
        <v>149</v>
      </c>
      <c r="C18" s="42">
        <v>30480</v>
      </c>
      <c r="D18" s="5">
        <v>55</v>
      </c>
      <c r="E18" s="5" t="s">
        <v>150</v>
      </c>
      <c r="F18" s="5" t="s">
        <v>146</v>
      </c>
      <c r="G18" s="5" t="s">
        <v>170</v>
      </c>
      <c r="H18" s="5" t="s">
        <v>125</v>
      </c>
      <c r="I18" s="5">
        <v>4133</v>
      </c>
      <c r="J18" s="5" t="s">
        <v>148</v>
      </c>
      <c r="K18" s="5">
        <v>214</v>
      </c>
      <c r="L18" s="5" t="s">
        <v>155</v>
      </c>
      <c r="M18" s="42">
        <v>39911</v>
      </c>
      <c r="N18" s="42">
        <v>44074</v>
      </c>
    </row>
    <row r="19" spans="1:14" x14ac:dyDescent="0.25">
      <c r="A19" s="5" t="s">
        <v>181</v>
      </c>
      <c r="B19" s="5" t="s">
        <v>182</v>
      </c>
      <c r="C19" s="42">
        <v>30366</v>
      </c>
      <c r="D19" s="5">
        <v>74</v>
      </c>
      <c r="E19" s="5" t="s">
        <v>129</v>
      </c>
      <c r="F19" s="5" t="s">
        <v>130</v>
      </c>
      <c r="G19" s="5" t="s">
        <v>71</v>
      </c>
      <c r="H19" s="5" t="s">
        <v>125</v>
      </c>
      <c r="I19" s="5">
        <v>1148</v>
      </c>
      <c r="J19" s="5" t="s">
        <v>138</v>
      </c>
      <c r="K19" s="5">
        <v>277</v>
      </c>
      <c r="L19" s="5" t="s">
        <v>127</v>
      </c>
      <c r="M19" s="42">
        <v>40099</v>
      </c>
      <c r="N19" s="42">
        <v>42933</v>
      </c>
    </row>
    <row r="20" spans="1:14" x14ac:dyDescent="0.25">
      <c r="A20" s="5" t="s">
        <v>133</v>
      </c>
      <c r="B20" s="5" t="s">
        <v>149</v>
      </c>
      <c r="C20" s="42">
        <v>35313</v>
      </c>
      <c r="D20" s="5">
        <v>78</v>
      </c>
      <c r="E20" s="5" t="s">
        <v>183</v>
      </c>
      <c r="F20" s="5" t="s">
        <v>136</v>
      </c>
      <c r="G20" s="5" t="s">
        <v>160</v>
      </c>
      <c r="H20" s="5" t="s">
        <v>153</v>
      </c>
      <c r="I20" s="5">
        <v>592</v>
      </c>
      <c r="J20" s="5" t="s">
        <v>126</v>
      </c>
      <c r="K20" s="5">
        <v>71</v>
      </c>
      <c r="L20" s="5" t="s">
        <v>127</v>
      </c>
      <c r="M20" s="42">
        <v>44523</v>
      </c>
      <c r="N20" s="42">
        <v>44140</v>
      </c>
    </row>
    <row r="21" spans="1:14" x14ac:dyDescent="0.25">
      <c r="A21" s="5" t="s">
        <v>178</v>
      </c>
      <c r="B21" s="5" t="s">
        <v>167</v>
      </c>
      <c r="C21" s="42">
        <v>35140</v>
      </c>
      <c r="D21" s="5">
        <v>26</v>
      </c>
      <c r="E21" s="5" t="s">
        <v>184</v>
      </c>
      <c r="F21" s="5" t="s">
        <v>146</v>
      </c>
      <c r="G21" s="5" t="s">
        <v>185</v>
      </c>
      <c r="H21" s="5" t="s">
        <v>153</v>
      </c>
      <c r="I21" s="5">
        <v>2021</v>
      </c>
      <c r="J21" s="5" t="s">
        <v>126</v>
      </c>
      <c r="K21" s="5">
        <v>180</v>
      </c>
      <c r="L21" s="5" t="s">
        <v>155</v>
      </c>
      <c r="M21" s="42">
        <v>37523</v>
      </c>
      <c r="N21" s="42">
        <v>43711</v>
      </c>
    </row>
    <row r="22" spans="1:14" x14ac:dyDescent="0.25">
      <c r="A22" s="5" t="s">
        <v>120</v>
      </c>
      <c r="B22" s="5" t="s">
        <v>149</v>
      </c>
      <c r="C22" s="42">
        <v>32420</v>
      </c>
      <c r="D22" s="5">
        <v>62</v>
      </c>
      <c r="E22" s="5" t="s">
        <v>168</v>
      </c>
      <c r="F22" s="5" t="s">
        <v>172</v>
      </c>
      <c r="G22" s="5" t="s">
        <v>71</v>
      </c>
      <c r="H22" s="5" t="s">
        <v>153</v>
      </c>
      <c r="I22" s="5">
        <v>4402</v>
      </c>
      <c r="J22" s="5" t="s">
        <v>143</v>
      </c>
      <c r="K22" s="5">
        <v>72</v>
      </c>
      <c r="L22" s="5" t="s">
        <v>155</v>
      </c>
      <c r="M22" s="42">
        <v>37573</v>
      </c>
      <c r="N22" s="42">
        <v>43395</v>
      </c>
    </row>
    <row r="23" spans="1:14" x14ac:dyDescent="0.25">
      <c r="A23" s="5" t="s">
        <v>6</v>
      </c>
      <c r="B23" s="5" t="s">
        <v>171</v>
      </c>
      <c r="C23" s="42">
        <v>37018</v>
      </c>
      <c r="D23" s="5">
        <v>64</v>
      </c>
      <c r="E23" s="5" t="s">
        <v>183</v>
      </c>
      <c r="F23" s="5" t="s">
        <v>130</v>
      </c>
      <c r="G23" s="5" t="s">
        <v>186</v>
      </c>
      <c r="H23" s="5" t="s">
        <v>153</v>
      </c>
      <c r="I23" s="5">
        <v>1470</v>
      </c>
      <c r="J23" s="5" t="s">
        <v>154</v>
      </c>
      <c r="K23" s="5">
        <v>177</v>
      </c>
      <c r="L23" s="5" t="s">
        <v>127</v>
      </c>
      <c r="M23" s="42">
        <v>37549</v>
      </c>
      <c r="N23" s="42">
        <v>43426</v>
      </c>
    </row>
    <row r="24" spans="1:14" x14ac:dyDescent="0.25">
      <c r="A24" s="5" t="s">
        <v>14</v>
      </c>
      <c r="B24" s="5" t="s">
        <v>187</v>
      </c>
      <c r="C24" s="42">
        <v>34356</v>
      </c>
      <c r="D24" s="5">
        <v>31</v>
      </c>
      <c r="E24" s="5" t="s">
        <v>184</v>
      </c>
      <c r="F24" s="5" t="s">
        <v>159</v>
      </c>
      <c r="G24" s="5" t="s">
        <v>185</v>
      </c>
      <c r="H24" s="5" t="s">
        <v>125</v>
      </c>
      <c r="I24" s="5">
        <v>3313</v>
      </c>
      <c r="J24" s="5" t="s">
        <v>154</v>
      </c>
      <c r="K24" s="5">
        <v>130</v>
      </c>
      <c r="L24" s="5" t="s">
        <v>155</v>
      </c>
      <c r="M24" s="42">
        <v>37346</v>
      </c>
      <c r="N24" s="42">
        <v>44389</v>
      </c>
    </row>
    <row r="25" spans="1:14" x14ac:dyDescent="0.25">
      <c r="A25" s="5" t="s">
        <v>133</v>
      </c>
      <c r="B25" s="5" t="s">
        <v>161</v>
      </c>
      <c r="C25" s="42">
        <v>38051</v>
      </c>
      <c r="D25" s="5">
        <v>19</v>
      </c>
      <c r="E25" s="5" t="s">
        <v>164</v>
      </c>
      <c r="F25" s="5" t="s">
        <v>136</v>
      </c>
      <c r="G25" s="5" t="s">
        <v>174</v>
      </c>
      <c r="H25" s="5" t="s">
        <v>153</v>
      </c>
      <c r="I25" s="5">
        <v>3545</v>
      </c>
      <c r="J25" s="5" t="s">
        <v>132</v>
      </c>
      <c r="K25" s="5">
        <v>93</v>
      </c>
      <c r="L25" s="5" t="s">
        <v>155</v>
      </c>
      <c r="M25" s="42">
        <v>39189</v>
      </c>
      <c r="N25" s="42">
        <v>43457</v>
      </c>
    </row>
    <row r="26" spans="1:14" x14ac:dyDescent="0.25">
      <c r="A26" s="5" t="s">
        <v>188</v>
      </c>
      <c r="B26" s="5" t="s">
        <v>167</v>
      </c>
      <c r="C26" s="42">
        <v>32206</v>
      </c>
      <c r="D26" s="5">
        <v>63</v>
      </c>
      <c r="E26" s="5" t="s">
        <v>145</v>
      </c>
      <c r="F26" s="5" t="s">
        <v>189</v>
      </c>
      <c r="G26" s="5" t="s">
        <v>185</v>
      </c>
      <c r="H26" s="5" t="s">
        <v>125</v>
      </c>
      <c r="I26" s="5">
        <v>4027</v>
      </c>
      <c r="J26" s="5" t="s">
        <v>154</v>
      </c>
      <c r="K26" s="5">
        <v>225</v>
      </c>
      <c r="L26" s="5" t="s">
        <v>155</v>
      </c>
      <c r="M26" s="42">
        <v>42760</v>
      </c>
      <c r="N26" s="42">
        <v>44550</v>
      </c>
    </row>
    <row r="27" spans="1:14" x14ac:dyDescent="0.25">
      <c r="A27" s="5" t="s">
        <v>190</v>
      </c>
      <c r="B27" s="5" t="s">
        <v>182</v>
      </c>
      <c r="C27" s="42">
        <v>38323</v>
      </c>
      <c r="D27" s="5">
        <v>52</v>
      </c>
      <c r="E27" s="5" t="s">
        <v>162</v>
      </c>
      <c r="F27" s="5" t="s">
        <v>189</v>
      </c>
      <c r="G27" s="5" t="s">
        <v>191</v>
      </c>
      <c r="H27" s="5" t="s">
        <v>153</v>
      </c>
      <c r="I27" s="5">
        <v>3851</v>
      </c>
      <c r="J27" s="5" t="s">
        <v>154</v>
      </c>
      <c r="K27" s="5">
        <v>269</v>
      </c>
      <c r="L27" s="5" t="s">
        <v>155</v>
      </c>
      <c r="M27" s="42">
        <v>40296</v>
      </c>
      <c r="N27" s="42">
        <v>44606</v>
      </c>
    </row>
    <row r="28" spans="1:14" x14ac:dyDescent="0.25">
      <c r="A28" s="5" t="s">
        <v>4</v>
      </c>
      <c r="B28" s="5" t="s">
        <v>192</v>
      </c>
      <c r="C28" s="42">
        <v>39337</v>
      </c>
      <c r="D28" s="5">
        <v>38</v>
      </c>
      <c r="E28" s="5" t="s">
        <v>150</v>
      </c>
      <c r="F28" s="5" t="s">
        <v>172</v>
      </c>
      <c r="G28" s="5" t="s">
        <v>177</v>
      </c>
      <c r="H28" s="5" t="s">
        <v>153</v>
      </c>
      <c r="I28" s="5">
        <v>3592</v>
      </c>
      <c r="J28" s="5" t="s">
        <v>126</v>
      </c>
      <c r="K28" s="5">
        <v>147</v>
      </c>
      <c r="L28" s="5" t="s">
        <v>155</v>
      </c>
      <c r="M28" s="42">
        <v>42242</v>
      </c>
      <c r="N28" s="42">
        <v>43966</v>
      </c>
    </row>
    <row r="29" spans="1:14" x14ac:dyDescent="0.25">
      <c r="A29" s="5" t="s">
        <v>6</v>
      </c>
      <c r="B29" s="5" t="s">
        <v>13</v>
      </c>
      <c r="C29" s="42">
        <v>34343</v>
      </c>
      <c r="D29" s="5">
        <v>62</v>
      </c>
      <c r="E29" s="5" t="s">
        <v>168</v>
      </c>
      <c r="F29" s="5" t="s">
        <v>123</v>
      </c>
      <c r="G29" s="5" t="s">
        <v>152</v>
      </c>
      <c r="H29" s="5" t="s">
        <v>153</v>
      </c>
      <c r="I29" s="5">
        <v>2007</v>
      </c>
      <c r="J29" s="5" t="s">
        <v>148</v>
      </c>
      <c r="K29" s="5">
        <v>177</v>
      </c>
      <c r="L29" s="5" t="s">
        <v>127</v>
      </c>
      <c r="M29" s="42">
        <v>37766</v>
      </c>
      <c r="N29" s="42">
        <v>43355</v>
      </c>
    </row>
    <row r="30" spans="1:14" x14ac:dyDescent="0.25">
      <c r="A30" s="5" t="s">
        <v>120</v>
      </c>
      <c r="B30" s="5" t="s">
        <v>179</v>
      </c>
      <c r="C30" s="42">
        <v>35454</v>
      </c>
      <c r="D30" s="5">
        <v>78</v>
      </c>
      <c r="E30" s="5" t="s">
        <v>135</v>
      </c>
      <c r="F30" s="5" t="s">
        <v>180</v>
      </c>
      <c r="G30" s="5" t="s">
        <v>174</v>
      </c>
      <c r="H30" s="5" t="s">
        <v>125</v>
      </c>
      <c r="I30" s="5">
        <v>2629</v>
      </c>
      <c r="J30" s="5" t="s">
        <v>154</v>
      </c>
      <c r="K30" s="5">
        <v>216</v>
      </c>
      <c r="L30" s="5" t="s">
        <v>155</v>
      </c>
      <c r="M30" s="42">
        <v>39788</v>
      </c>
      <c r="N30" s="42">
        <v>44227</v>
      </c>
    </row>
    <row r="31" spans="1:14" x14ac:dyDescent="0.25">
      <c r="A31" s="5" t="s">
        <v>133</v>
      </c>
      <c r="B31" s="5" t="s">
        <v>193</v>
      </c>
      <c r="C31" s="42">
        <v>36707</v>
      </c>
      <c r="D31" s="5">
        <v>50</v>
      </c>
      <c r="E31" s="5" t="s">
        <v>168</v>
      </c>
      <c r="F31" s="5" t="s">
        <v>169</v>
      </c>
      <c r="G31" s="5" t="s">
        <v>147</v>
      </c>
      <c r="H31" s="5" t="s">
        <v>153</v>
      </c>
      <c r="I31" s="5">
        <v>3516</v>
      </c>
      <c r="J31" s="5" t="s">
        <v>138</v>
      </c>
      <c r="K31" s="5">
        <v>170</v>
      </c>
      <c r="L31" s="5" t="s">
        <v>127</v>
      </c>
      <c r="M31" s="42">
        <v>38211</v>
      </c>
      <c r="N31" s="42">
        <v>43795</v>
      </c>
    </row>
    <row r="32" spans="1:14" x14ac:dyDescent="0.25">
      <c r="A32" s="5" t="s">
        <v>6</v>
      </c>
      <c r="B32" s="5" t="s">
        <v>19</v>
      </c>
      <c r="C32" s="42">
        <v>37816</v>
      </c>
      <c r="D32" s="5">
        <v>56</v>
      </c>
      <c r="E32" s="5" t="s">
        <v>194</v>
      </c>
      <c r="F32" s="5" t="s">
        <v>146</v>
      </c>
      <c r="G32" s="5" t="s">
        <v>185</v>
      </c>
      <c r="H32" s="5" t="s">
        <v>153</v>
      </c>
      <c r="I32" s="5">
        <v>1044</v>
      </c>
      <c r="J32" s="5" t="s">
        <v>126</v>
      </c>
      <c r="K32" s="5">
        <v>38</v>
      </c>
      <c r="L32" s="5" t="s">
        <v>155</v>
      </c>
      <c r="M32" s="42">
        <v>40728</v>
      </c>
      <c r="N32" s="42">
        <v>44671</v>
      </c>
    </row>
    <row r="33" spans="1:14" x14ac:dyDescent="0.25">
      <c r="A33" s="5" t="s">
        <v>14</v>
      </c>
      <c r="B33" s="5" t="s">
        <v>195</v>
      </c>
      <c r="C33" s="42">
        <v>36856</v>
      </c>
      <c r="D33" s="5">
        <v>60</v>
      </c>
      <c r="E33" s="5" t="s">
        <v>164</v>
      </c>
      <c r="F33" s="5" t="s">
        <v>172</v>
      </c>
      <c r="G33" s="5" t="s">
        <v>173</v>
      </c>
      <c r="H33" s="5" t="s">
        <v>153</v>
      </c>
      <c r="I33" s="5">
        <v>1132</v>
      </c>
      <c r="J33" s="5" t="s">
        <v>126</v>
      </c>
      <c r="K33" s="5">
        <v>69</v>
      </c>
      <c r="L33" s="5" t="s">
        <v>127</v>
      </c>
      <c r="M33" s="42">
        <v>41317</v>
      </c>
      <c r="N33" s="42">
        <v>44221</v>
      </c>
    </row>
    <row r="34" spans="1:14" x14ac:dyDescent="0.25">
      <c r="A34" s="5" t="s">
        <v>188</v>
      </c>
      <c r="B34" s="5" t="s">
        <v>192</v>
      </c>
      <c r="C34" s="42">
        <v>34881</v>
      </c>
      <c r="D34" s="5">
        <v>60</v>
      </c>
      <c r="E34" s="5" t="s">
        <v>145</v>
      </c>
      <c r="F34" s="5" t="s">
        <v>151</v>
      </c>
      <c r="G34" s="5" t="s">
        <v>71</v>
      </c>
      <c r="H34" s="5" t="s">
        <v>125</v>
      </c>
      <c r="I34" s="5">
        <v>2197</v>
      </c>
      <c r="J34" s="5" t="s">
        <v>143</v>
      </c>
      <c r="K34" s="5">
        <v>115</v>
      </c>
      <c r="L34" s="5" t="s">
        <v>155</v>
      </c>
      <c r="M34" s="42">
        <v>40918</v>
      </c>
      <c r="N34" s="42">
        <v>43125</v>
      </c>
    </row>
    <row r="35" spans="1:14" x14ac:dyDescent="0.25">
      <c r="A35" s="5" t="s">
        <v>139</v>
      </c>
      <c r="B35" s="5" t="s">
        <v>182</v>
      </c>
      <c r="C35" s="42">
        <v>30139</v>
      </c>
      <c r="D35" s="5">
        <v>29</v>
      </c>
      <c r="E35" s="5" t="s">
        <v>145</v>
      </c>
      <c r="F35" s="5" t="s">
        <v>180</v>
      </c>
      <c r="G35" s="5" t="s">
        <v>191</v>
      </c>
      <c r="H35" s="5" t="s">
        <v>125</v>
      </c>
      <c r="I35" s="5">
        <v>1288</v>
      </c>
      <c r="J35" s="5" t="s">
        <v>148</v>
      </c>
      <c r="K35" s="5">
        <v>161</v>
      </c>
      <c r="L35" s="5" t="s">
        <v>155</v>
      </c>
      <c r="M35" s="42">
        <v>38839</v>
      </c>
      <c r="N35" s="42">
        <v>43958</v>
      </c>
    </row>
    <row r="36" spans="1:14" x14ac:dyDescent="0.25">
      <c r="A36" s="5" t="s">
        <v>156</v>
      </c>
      <c r="B36" s="5" t="s">
        <v>140</v>
      </c>
      <c r="C36" s="42">
        <v>35125</v>
      </c>
      <c r="D36" s="5">
        <v>55</v>
      </c>
      <c r="E36" s="5" t="s">
        <v>196</v>
      </c>
      <c r="F36" s="5" t="s">
        <v>180</v>
      </c>
      <c r="G36" s="5" t="s">
        <v>174</v>
      </c>
      <c r="H36" s="5" t="s">
        <v>125</v>
      </c>
      <c r="I36" s="5">
        <v>4254</v>
      </c>
      <c r="J36" s="5" t="s">
        <v>126</v>
      </c>
      <c r="K36" s="5">
        <v>129</v>
      </c>
      <c r="L36" s="5" t="s">
        <v>127</v>
      </c>
      <c r="M36" s="42">
        <v>42008</v>
      </c>
      <c r="N36" s="42">
        <v>44711</v>
      </c>
    </row>
    <row r="37" spans="1:14" x14ac:dyDescent="0.25">
      <c r="A37" s="5" t="s">
        <v>14</v>
      </c>
      <c r="B37" s="5" t="s">
        <v>149</v>
      </c>
      <c r="C37" s="42">
        <v>31114</v>
      </c>
      <c r="D37" s="5">
        <v>73</v>
      </c>
      <c r="E37" s="5" t="s">
        <v>183</v>
      </c>
      <c r="F37" s="5" t="s">
        <v>130</v>
      </c>
      <c r="G37" s="5" t="s">
        <v>185</v>
      </c>
      <c r="H37" s="5" t="s">
        <v>125</v>
      </c>
      <c r="I37" s="5">
        <v>3361</v>
      </c>
      <c r="J37" s="5" t="s">
        <v>154</v>
      </c>
      <c r="K37" s="5">
        <v>92</v>
      </c>
      <c r="L37" s="5" t="s">
        <v>127</v>
      </c>
      <c r="M37" s="42">
        <v>39868</v>
      </c>
      <c r="N37" s="42">
        <v>44512</v>
      </c>
    </row>
    <row r="38" spans="1:14" x14ac:dyDescent="0.25">
      <c r="A38" s="5" t="s">
        <v>197</v>
      </c>
      <c r="B38" s="5" t="s">
        <v>13</v>
      </c>
      <c r="C38" s="42">
        <v>34138</v>
      </c>
      <c r="D38" s="5">
        <v>30</v>
      </c>
      <c r="E38" s="5" t="s">
        <v>122</v>
      </c>
      <c r="F38" s="5" t="s">
        <v>159</v>
      </c>
      <c r="G38" s="5" t="s">
        <v>131</v>
      </c>
      <c r="H38" s="5" t="s">
        <v>153</v>
      </c>
      <c r="I38" s="5">
        <v>4060</v>
      </c>
      <c r="J38" s="5" t="s">
        <v>126</v>
      </c>
      <c r="K38" s="5">
        <v>30</v>
      </c>
      <c r="L38" s="5" t="s">
        <v>127</v>
      </c>
      <c r="M38" s="42">
        <v>37412</v>
      </c>
      <c r="N38" s="42">
        <v>43429</v>
      </c>
    </row>
    <row r="39" spans="1:14" x14ac:dyDescent="0.25">
      <c r="A39" s="5" t="s">
        <v>178</v>
      </c>
      <c r="B39" s="5" t="s">
        <v>192</v>
      </c>
      <c r="C39" s="42">
        <v>31958</v>
      </c>
      <c r="D39" s="5">
        <v>51</v>
      </c>
      <c r="E39" s="5" t="s">
        <v>150</v>
      </c>
      <c r="F39" s="5" t="s">
        <v>132</v>
      </c>
      <c r="G39" s="5" t="s">
        <v>191</v>
      </c>
      <c r="H39" s="5" t="s">
        <v>153</v>
      </c>
      <c r="I39" s="5">
        <v>3441</v>
      </c>
      <c r="J39" s="5" t="s">
        <v>132</v>
      </c>
      <c r="K39" s="5">
        <v>247</v>
      </c>
      <c r="L39" s="5" t="s">
        <v>127</v>
      </c>
      <c r="M39" s="42">
        <v>42584</v>
      </c>
      <c r="N39" s="42">
        <v>43005</v>
      </c>
    </row>
    <row r="40" spans="1:14" x14ac:dyDescent="0.25">
      <c r="A40" s="5" t="s">
        <v>133</v>
      </c>
      <c r="B40" s="5" t="s">
        <v>149</v>
      </c>
      <c r="C40" s="42">
        <v>31235</v>
      </c>
      <c r="D40" s="5">
        <v>54</v>
      </c>
      <c r="E40" s="5" t="s">
        <v>176</v>
      </c>
      <c r="F40" s="5" t="s">
        <v>172</v>
      </c>
      <c r="G40" s="5" t="s">
        <v>185</v>
      </c>
      <c r="H40" s="5" t="s">
        <v>125</v>
      </c>
      <c r="I40" s="5">
        <v>2236</v>
      </c>
      <c r="J40" s="5" t="s">
        <v>126</v>
      </c>
      <c r="K40" s="5">
        <v>293</v>
      </c>
      <c r="L40" s="5" t="s">
        <v>127</v>
      </c>
      <c r="M40" s="42">
        <v>38083</v>
      </c>
      <c r="N40" s="42">
        <v>44318</v>
      </c>
    </row>
  </sheetData>
  <conditionalFormatting sqref="A2:B40">
    <cfRule type="expression" dxfId="2" priority="3">
      <formula>AND(YEAR($C2)&gt;=1980, YEAR($C2)&lt;=1995, $L2="დიახ", $H2="საშუალო")</formula>
    </cfRule>
  </conditionalFormatting>
  <conditionalFormatting sqref="M2:N40">
    <cfRule type="expression" dxfId="1" priority="1">
      <formula>WEEKDAY(M2, 2) &lt;= 5</formula>
    </cfRule>
    <cfRule type="expression" dxfId="0" priority="2">
      <formula>WEEKDAY(M2, 2)&gt;5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84F7-228F-4223-9FCB-878066433F3D}">
  <dimension ref="A1:E14"/>
  <sheetViews>
    <sheetView tabSelected="1" workbookViewId="0">
      <selection activeCell="C2" sqref="C2"/>
    </sheetView>
  </sheetViews>
  <sheetFormatPr defaultRowHeight="15" x14ac:dyDescent="0.25"/>
  <cols>
    <col min="1" max="1" width="9" bestFit="1" customWidth="1"/>
    <col min="2" max="2" width="8.375" bestFit="1" customWidth="1"/>
    <col min="3" max="3" width="10.5" style="47" bestFit="1" customWidth="1"/>
    <col min="4" max="4" width="19.75" bestFit="1" customWidth="1"/>
  </cols>
  <sheetData>
    <row r="1" spans="1:5" ht="30" x14ac:dyDescent="0.25">
      <c r="A1" s="43" t="s">
        <v>0</v>
      </c>
      <c r="B1" s="44" t="s">
        <v>1</v>
      </c>
      <c r="C1" s="45" t="s">
        <v>198</v>
      </c>
      <c r="D1" s="44" t="s">
        <v>199</v>
      </c>
    </row>
    <row r="2" spans="1:5" x14ac:dyDescent="0.25">
      <c r="A2" s="26" t="s">
        <v>200</v>
      </c>
      <c r="B2" s="26" t="s">
        <v>201</v>
      </c>
      <c r="C2" s="46" t="s">
        <v>203</v>
      </c>
      <c r="D2" s="26" t="s">
        <v>202</v>
      </c>
    </row>
    <row r="3" spans="1:5" x14ac:dyDescent="0.25">
      <c r="A3" s="26"/>
      <c r="B3" s="26"/>
      <c r="C3" s="46"/>
      <c r="D3" s="26"/>
    </row>
    <row r="4" spans="1:5" x14ac:dyDescent="0.25">
      <c r="A4" s="26"/>
      <c r="B4" s="26"/>
      <c r="C4" s="46"/>
      <c r="D4" s="26"/>
    </row>
    <row r="5" spans="1:5" x14ac:dyDescent="0.25">
      <c r="A5" s="26"/>
      <c r="B5" s="26"/>
      <c r="C5" s="46"/>
      <c r="D5" s="26"/>
    </row>
    <row r="6" spans="1:5" x14ac:dyDescent="0.25">
      <c r="A6" s="26"/>
      <c r="B6" s="26"/>
      <c r="C6" s="46"/>
      <c r="D6" s="26"/>
    </row>
    <row r="7" spans="1:5" x14ac:dyDescent="0.25">
      <c r="A7" s="26"/>
      <c r="B7" s="26"/>
      <c r="C7" s="46"/>
      <c r="D7" s="26"/>
    </row>
    <row r="8" spans="1:5" x14ac:dyDescent="0.25">
      <c r="A8" s="26"/>
      <c r="B8" s="26"/>
      <c r="C8" s="46"/>
      <c r="D8" s="26"/>
    </row>
    <row r="9" spans="1:5" x14ac:dyDescent="0.25">
      <c r="A9" s="26"/>
      <c r="B9" s="26"/>
      <c r="C9" s="46"/>
      <c r="D9" s="26"/>
    </row>
    <row r="10" spans="1:5" x14ac:dyDescent="0.25">
      <c r="A10" s="26"/>
      <c r="B10" s="26"/>
      <c r="C10" s="46"/>
      <c r="D10" s="26"/>
    </row>
    <row r="14" spans="1:5" x14ac:dyDescent="0.25">
      <c r="E14" t="b">
        <f>AND(ISNUMBER(SEARCH(A2,D2)),ISNUMBER(SEARCH(LEFT(B2,1),D2)),ISNUMBER(SEARCH("@",D2)))</f>
        <v>1</v>
      </c>
    </row>
  </sheetData>
  <dataConsolidate/>
  <dataValidations count="3">
    <dataValidation type="custom" allowBlank="1" showInputMessage="1" showErrorMessage="1" sqref="A2:B10" xr:uid="{089C90EC-68F1-4C5E-82C5-09CCF8FB7C80}">
      <formula1>ISTEXT(A2)</formula1>
    </dataValidation>
    <dataValidation type="custom" allowBlank="1" showInputMessage="1" showErrorMessage="1" sqref="D2:D10" xr:uid="{75C515AD-597F-43AF-AFEB-58DCB407808C}">
      <formula1>AND(ISNUMBER(SEARCH(A2,D2)),ISNUMBER(SEARCH(LEFT(B2,1),D2)),ISNUMBER(SEARCH("@",D2)))</formula1>
    </dataValidation>
    <dataValidation type="custom" allowBlank="1" showInputMessage="1" showErrorMessage="1" sqref="C2:C10" xr:uid="{F2707B6B-6789-4E99-9192-8E758B594357}">
      <formula1>AND(LEN(C2)=11, ISNUMBER(--C2))</formula1>
    </dataValidation>
  </dataValidations>
  <pageMargins left="0.7" right="0.7" top="0.75" bottom="0.75" header="0.3" footer="0.3"/>
  <ignoredErrors>
    <ignoredError sqref="C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ამოცანა 1</vt:lpstr>
      <vt:lpstr>ამოცანა 2</vt:lpstr>
      <vt:lpstr>ამოცანა 3</vt:lpstr>
      <vt:lpstr>ამოცანა 4</vt:lpstr>
      <vt:lpstr>ამოცანა 5</vt:lpstr>
      <vt:lpstr>ამოცანა 6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raimond klibadze</dc:creator>
  <cp:lastModifiedBy>raimond klibadze</cp:lastModifiedBy>
  <dcterms:created xsi:type="dcterms:W3CDTF">2026-01-02T14:23:53Z</dcterms:created>
  <dcterms:modified xsi:type="dcterms:W3CDTF">2026-02-16T08:37:51Z</dcterms:modified>
</cp:coreProperties>
</file>